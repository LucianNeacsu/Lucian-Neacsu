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Ipoteze" sheetId="1" state="visible" r:id="rId1"/>
    <sheet xmlns:r="http://schemas.openxmlformats.org/officeDocument/2006/relationships" name="CAPEX" sheetId="2" state="visible" r:id="rId2"/>
    <sheet xmlns:r="http://schemas.openxmlformats.org/officeDocument/2006/relationships" name="Finantare" sheetId="3" state="visible" r:id="rId3"/>
    <sheet xmlns:r="http://schemas.openxmlformats.org/officeDocument/2006/relationships" name="CashFlow" sheetId="4" state="visible" r:id="rId4"/>
    <sheet xmlns:r="http://schemas.openxmlformats.org/officeDocument/2006/relationships" name="Rezultate" sheetId="5" state="visible" r:id="rId5"/>
    <sheet xmlns:r="http://schemas.openxmlformats.org/officeDocument/2006/relationships" name="Scenarii" sheetId="6" state="visible" r:id="rId6"/>
    <sheet xmlns:r="http://schemas.openxmlformats.org/officeDocument/2006/relationships" name="ScenariuChina" sheetId="7" state="visible" r:id="rId7"/>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0"/>
    <numFmt numFmtId="167" formatCode="#,##0;\(#,##0\);\-"/>
  </numFmts>
  <fonts count="19">
    <font>
      <name val="Calibri"/>
      <charset val="1"/>
      <family val="2"/>
      <color theme="1"/>
      <sz val="11"/>
    </font>
    <font>
      <name val="Arial"/>
      <charset val="1"/>
      <b val="1"/>
      <color rgb="FF1F3864"/>
      <sz val="13"/>
    </font>
    <font>
      <name val="Arial"/>
      <charset val="1"/>
      <i val="1"/>
      <sz val="10"/>
    </font>
    <font>
      <name val="Arial"/>
      <charset val="1"/>
      <b val="1"/>
      <color rgb="FFC00000"/>
      <sz val="10"/>
    </font>
    <font>
      <name val="Arial"/>
      <charset val="1"/>
      <b val="1"/>
      <sz val="10"/>
    </font>
    <font>
      <name val="Arial"/>
      <charset val="1"/>
      <color rgb="FF0000FF"/>
      <sz val="10"/>
    </font>
    <font>
      <name val="Arial"/>
      <charset val="1"/>
      <sz val="10"/>
    </font>
    <font>
      <name val="Arial"/>
      <charset val="1"/>
      <color rgb="FF008000"/>
      <sz val="10"/>
    </font>
    <font>
      <name val="Arial"/>
      <charset val="1"/>
      <b val="1"/>
      <color rgb="FFFFFFFF"/>
      <sz val="10"/>
    </font>
    <font>
      <name val="Arial"/>
      <charset val="1"/>
      <i val="1"/>
      <color rgb="FF808080"/>
      <sz val="8"/>
    </font>
    <font>
      <name val="Arial"/>
      <charset val="1"/>
      <i val="1"/>
      <color rgb="FFC00000"/>
      <sz val="9"/>
    </font>
    <font>
      <name val="Arial"/>
      <b val="1"/>
      <color rgb="FF1F3864"/>
      <sz val="13"/>
    </font>
    <font>
      <name val="Arial"/>
      <sz val="10"/>
    </font>
    <font>
      <name val="Arial"/>
      <i val="1"/>
      <color rgb="FF808080"/>
      <sz val="8"/>
    </font>
    <font>
      <name val="Arial"/>
      <b val="1"/>
      <color rgb="FFFFFFFF"/>
      <sz val="10"/>
    </font>
    <font>
      <name val="Arial"/>
      <color rgb="FF0000FF"/>
      <sz val="10"/>
    </font>
    <font>
      <name val="Arial"/>
      <color rgb="FF008000"/>
      <sz val="10"/>
    </font>
    <font>
      <name val="Arial"/>
      <b val="1"/>
      <sz val="10"/>
    </font>
    <font>
      <name val="Arial"/>
      <b val="1"/>
      <color rgb="FFC00000"/>
      <sz val="10"/>
    </font>
  </fonts>
  <fills count="7">
    <fill>
      <patternFill/>
    </fill>
    <fill>
      <patternFill patternType="gray125"/>
    </fill>
    <fill>
      <patternFill patternType="solid">
        <fgColor rgb="FFFFFF00"/>
        <bgColor rgb="FFFFFF00"/>
      </patternFill>
    </fill>
    <fill>
      <patternFill patternType="solid">
        <fgColor rgb="FF1F3864"/>
        <bgColor rgb="FF333333"/>
      </patternFill>
    </fill>
    <fill>
      <patternFill patternType="solid">
        <fgColor rgb="FFD9D9D9"/>
        <bgColor rgb="FFBFBFBF"/>
      </patternFill>
    </fill>
    <fill>
      <patternFill patternType="solid">
        <fgColor rgb="FF1F3864"/>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8" fillId="3" borderId="0" pivotButton="0" quotePrefix="0" xfId="0"/>
    <xf numFmtId="0" fontId="0" fillId="3" borderId="0" pivotButton="0" quotePrefix="0" xfId="0"/>
    <xf numFmtId="164" fontId="5" fillId="2" borderId="1" pivotButton="0" quotePrefix="0" xfId="0"/>
    <xf numFmtId="0" fontId="9" fillId="0" borderId="0" pivotButton="0" quotePrefix="0" xfId="0"/>
    <xf numFmtId="164" fontId="6" fillId="0" borderId="1" pivotButton="0" quotePrefix="0" xfId="0"/>
    <xf numFmtId="165" fontId="5" fillId="2" borderId="1" pivotButton="0" quotePrefix="0" xfId="0"/>
    <xf numFmtId="166" fontId="5" fillId="2" borderId="1" pivotButton="0" quotePrefix="0" xfId="0"/>
    <xf numFmtId="0" fontId="8" fillId="3" borderId="1" pivotButton="0" quotePrefix="0" xfId="0"/>
    <xf numFmtId="167" fontId="7" fillId="0" borderId="1" pivotButton="0" quotePrefix="0" xfId="0"/>
    <xf numFmtId="167" fontId="6" fillId="0" borderId="0" pivotButton="0" quotePrefix="0" xfId="0"/>
    <xf numFmtId="167" fontId="4" fillId="4" borderId="0" pivotButton="0" quotePrefix="0" xfId="0"/>
    <xf numFmtId="167" fontId="0" fillId="0" borderId="0" pivotButton="0" quotePrefix="0" xfId="0"/>
    <xf numFmtId="167" fontId="4" fillId="2" borderId="1" pivotButton="0" quotePrefix="0" xfId="0"/>
    <xf numFmtId="167" fontId="4" fillId="2" borderId="0" pivotButton="0" quotePrefix="0" xfId="0"/>
    <xf numFmtId="167" fontId="4" fillId="0" borderId="1" pivotButton="0" quotePrefix="0" xfId="0"/>
    <xf numFmtId="167" fontId="6" fillId="0" borderId="1" pivotButton="0" quotePrefix="0" xfId="0"/>
    <xf numFmtId="165" fontId="4" fillId="0" borderId="1" pivotButton="0" quotePrefix="0" xfId="0"/>
    <xf numFmtId="165" fontId="6" fillId="0" borderId="1" pivotButton="0" quotePrefix="0" xfId="0"/>
    <xf numFmtId="0" fontId="6" fillId="0" borderId="1" pivotButton="0" quotePrefix="0" xfId="0"/>
    <xf numFmtId="0" fontId="8" fillId="3" borderId="0" applyAlignment="1" pivotButton="0" quotePrefix="0" xfId="0">
      <alignment horizontal="center"/>
    </xf>
    <xf numFmtId="164" fontId="6" fillId="0" borderId="0" pivotButton="0" quotePrefix="0" xfId="0"/>
    <xf numFmtId="167" fontId="4" fillId="0" borderId="0" pivotButton="0" quotePrefix="0" xfId="0"/>
    <xf numFmtId="167" fontId="7" fillId="0" borderId="0" pivotButton="0" quotePrefix="0" xfId="0"/>
    <xf numFmtId="0" fontId="10" fillId="0" borderId="0" pivotButton="0" quotePrefix="0" xfId="0"/>
    <xf numFmtId="167" fontId="6" fillId="2" borderId="1" pivotButton="0" quotePrefix="0" xfId="0"/>
    <xf numFmtId="165" fontId="6" fillId="2" borderId="1" pivotButton="0" quotePrefix="0" xfId="0"/>
    <xf numFmtId="1" fontId="6" fillId="2" borderId="1" pivotButton="0" quotePrefix="0" xfId="0"/>
    <xf numFmtId="167" fontId="5"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5" borderId="0" pivotButton="0" quotePrefix="0" xfId="0"/>
    <xf numFmtId="167" fontId="15" fillId="6" borderId="0" pivotButton="0" quotePrefix="0" xfId="0"/>
    <xf numFmtId="167" fontId="12" fillId="0" borderId="0" pivotButton="0" quotePrefix="0" xfId="0"/>
    <xf numFmtId="167" fontId="16" fillId="0" borderId="0" pivotButton="0" quotePrefix="0" xfId="0"/>
    <xf numFmtId="0" fontId="17" fillId="0" borderId="0" pivotButton="0" quotePrefix="0" xfId="0"/>
    <xf numFmtId="167" fontId="17" fillId="0" borderId="0" pivotButton="0" quotePrefix="0" xfId="0"/>
    <xf numFmtId="164" fontId="16" fillId="0" borderId="0" pivotButton="0" quotePrefix="0" xfId="0"/>
    <xf numFmtId="165" fontId="12" fillId="0" borderId="0" pivotButton="0" quotePrefix="0" xfId="0"/>
    <xf numFmtId="1" fontId="12" fillId="0" borderId="0" pivotButton="0" quotePrefix="0" xfId="0"/>
    <xf numFmtId="0" fontId="18"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67"/>
  <sheetViews>
    <sheetView showGridLines="0" tabSelected="1" zoomScaleNormal="100" workbookViewId="0">
      <selection activeCell="A1" sqref="A1"/>
    </sheetView>
  </sheetViews>
  <sheetFormatPr baseColWidth="8" defaultColWidth="8.6640625" defaultRowHeight="14.4"/>
  <cols>
    <col width="3" customWidth="1" min="1" max="1"/>
    <col width="52" customWidth="1" min="2" max="2"/>
    <col width="16" customWidth="1" min="3" max="3"/>
    <col width="12" customWidth="1" min="4" max="4"/>
    <col width="62" customWidth="1" min="5" max="5"/>
  </cols>
  <sheetData>
    <row r="2" ht="16.8" customHeight="1">
      <c r="B2" s="1" t="inlineStr">
        <is>
          <t>MODEL FINANCIAR — INSTALAȚIE STAND-ALONE DE STOCARE ÎN BATERII</t>
        </is>
      </c>
    </row>
    <row r="3">
      <c r="B3" s="2" t="inlineStr">
        <is>
          <t>Cramele Odobești SA — apel Fondul pentru modernizare, Ministerul Energiei</t>
        </is>
      </c>
    </row>
    <row r="4">
      <c r="B4" s="3" t="inlineStr">
        <is>
          <t>CIORNĂ DE LUCRU. Celulele galbene se completează de utilizator. Restul se calculează automat.</t>
        </is>
      </c>
    </row>
    <row r="6">
      <c r="B6" s="4" t="inlineStr">
        <is>
          <t>LEGENDĂ</t>
        </is>
      </c>
    </row>
    <row r="7">
      <c r="B7" s="5" t="inlineStr">
        <is>
          <t>Albastru pe fond galben = date de intrare, se modifică</t>
        </is>
      </c>
    </row>
    <row r="8">
      <c r="B8" s="6" t="inlineStr">
        <is>
          <t>Negru = formulă calculată în această foaie</t>
        </is>
      </c>
    </row>
    <row r="9">
      <c r="B9" s="7" t="inlineStr">
        <is>
          <t>Verde = preluat din altă foaie</t>
        </is>
      </c>
    </row>
    <row r="11">
      <c r="B11" s="8" t="inlineStr">
        <is>
          <t>1. CONFIGURAȚIA TEHNICĂ</t>
        </is>
      </c>
      <c r="C11" s="9" t="n"/>
      <c r="D11" s="9" t="n"/>
      <c r="E11" s="9" t="n"/>
    </row>
    <row r="12">
      <c r="B12" s="6" t="inlineStr">
        <is>
          <t>Capacitate instalată</t>
        </is>
      </c>
      <c r="C12" s="10" t="n">
        <v>200</v>
      </c>
      <c r="D12" s="6" t="inlineStr">
        <is>
          <t>MWh</t>
        </is>
      </c>
      <c r="E12" s="11" t="inlineStr">
        <is>
          <t>Configurația Echilibrată din memoriu. Max analizat: 300 MWh</t>
        </is>
      </c>
    </row>
    <row r="13">
      <c r="B13" s="6" t="inlineStr">
        <is>
          <t>Durata de stocare</t>
        </is>
      </c>
      <c r="C13" s="10" t="n">
        <v>4</v>
      </c>
      <c r="D13" s="6" t="inlineStr">
        <is>
          <t>ore</t>
        </is>
      </c>
      <c r="E13" s="11" t="inlineStr">
        <is>
          <t>Ghidul cere raport minim 2:1. Recomandat 4:1</t>
        </is>
      </c>
    </row>
    <row r="14">
      <c r="B14" s="4" t="inlineStr">
        <is>
          <t>Putere instalată</t>
        </is>
      </c>
      <c r="C14" s="12">
        <f>C12/C13</f>
        <v/>
      </c>
      <c r="D14" s="6" t="inlineStr">
        <is>
          <t>MW</t>
        </is>
      </c>
      <c r="E14" s="11" t="inlineStr">
        <is>
          <t>Rezultă din capacitate și durată</t>
        </is>
      </c>
    </row>
    <row r="15">
      <c r="B15" s="6" t="inlineStr">
        <is>
          <t>Randament dus-întors (RTE)</t>
        </is>
      </c>
      <c r="C15" s="13" t="n">
        <v>0.88</v>
      </c>
      <c r="D15" s="6" t="n"/>
      <c r="E15" s="11" t="inlineStr">
        <is>
          <t>[DE COMPLETAT] din fișa tehnică a furnizorului</t>
        </is>
      </c>
    </row>
    <row r="16">
      <c r="B16" s="6" t="inlineStr">
        <is>
          <t>Degradare anuală a capacității</t>
        </is>
      </c>
      <c r="C16" s="13" t="n">
        <v>0.02</v>
      </c>
      <c r="D16" s="6" t="n"/>
      <c r="E16" s="11" t="inlineStr">
        <is>
          <t>[DE COMPLETAT] din garanția furnizorului</t>
        </is>
      </c>
    </row>
    <row r="17">
      <c r="B17" s="6" t="inlineStr">
        <is>
          <t>Cicluri complete pe an</t>
        </is>
      </c>
      <c r="C17" s="10" t="n">
        <v>300</v>
      </c>
      <c r="D17" s="6" t="inlineStr">
        <is>
          <t>cicluri</t>
        </is>
      </c>
      <c r="E17" s="11" t="inlineStr">
        <is>
          <t>[DE COMPLETAT] din strategia de operare din studiul de fezabilitate</t>
        </is>
      </c>
    </row>
    <row r="18">
      <c r="B18" s="6" t="inlineStr">
        <is>
          <t>Adâncime de descărcare utilizabilă</t>
        </is>
      </c>
      <c r="C18" s="13" t="n">
        <v>0.9</v>
      </c>
      <c r="D18" s="6" t="n"/>
      <c r="E18" s="11" t="inlineStr">
        <is>
          <t>[DE COMPLETAT] din fișa tehnică</t>
        </is>
      </c>
    </row>
    <row r="20">
      <c r="B20" s="8" t="inlineStr">
        <is>
          <t>2. COST DE INVESTIȚIE — REPERE DE PIAȚĂ, NU OFERTE</t>
        </is>
      </c>
      <c r="C20" s="9" t="n"/>
      <c r="D20" s="9" t="n"/>
      <c r="E20" s="9" t="n"/>
    </row>
    <row r="21">
      <c r="B21" s="6" t="inlineStr">
        <is>
          <t>Curs de schimb USD/EUR</t>
        </is>
      </c>
      <c r="C21" s="14" t="n">
        <v>0.9</v>
      </c>
      <c r="D21" s="6" t="inlineStr">
        <is>
          <t>EUR/USD</t>
        </is>
      </c>
      <c r="E21" s="11" t="inlineStr">
        <is>
          <t>[DE COMPLETAT] cursul de la data ofertei</t>
        </is>
      </c>
    </row>
    <row r="22">
      <c r="B22" s="6" t="inlineStr">
        <is>
          <t>Cost turnkey de referință</t>
        </is>
      </c>
      <c r="C22" s="10" t="n">
        <v>177000</v>
      </c>
      <c r="D22" s="6" t="inlineStr">
        <is>
          <t>USD/MWh</t>
        </is>
      </c>
      <c r="E22" s="11" t="inlineStr">
        <is>
          <t>Reper BNEF 2025 pentru Europa, sistem turnkey 4h. NU este ofertă.</t>
        </is>
      </c>
    </row>
    <row r="23">
      <c r="B23" s="4" t="inlineStr">
        <is>
          <t>Cost turnkey de referință</t>
        </is>
      </c>
      <c r="C23" s="12">
        <f>C22*C21</f>
        <v/>
      </c>
      <c r="D23" s="6" t="inlineStr">
        <is>
          <t>EUR/MWh</t>
        </is>
      </c>
      <c r="E23" s="11" t="inlineStr">
        <is>
          <t>Convertit la cursul de mai sus. Valabil pentru configurația de referință 4h.</t>
        </is>
      </c>
    </row>
    <row r="25">
      <c r="B25" s="6" t="inlineStr">
        <is>
          <t>Pondere cost legat de putere</t>
        </is>
      </c>
      <c r="C25" s="13" t="n">
        <v>0.14</v>
      </c>
      <c r="D25" s="6" t="n"/>
      <c r="E25" s="11" t="inlineStr">
        <is>
          <t>[DE COMPLETAT] din structura ofertei. Cât din costul turnkey ține de PCS, trafo, celule MT — componente care scalează cu MW, nu cu MWh.</t>
        </is>
      </c>
    </row>
    <row r="26">
      <c r="B26" s="4" t="inlineStr">
        <is>
          <t>Cost unitar de putere</t>
        </is>
      </c>
      <c r="C26" s="12">
        <f>C23*C12*C25/(C12/4)</f>
        <v/>
      </c>
      <c r="D26" s="6" t="inlineStr">
        <is>
          <t>EUR/MW</t>
        </is>
      </c>
      <c r="E26" s="11" t="inlineStr">
        <is>
          <t>Derivat astfel încât totalul să reconcilieze cu reperul la 4 ore</t>
        </is>
      </c>
    </row>
    <row r="27">
      <c r="B27" s="4" t="inlineStr">
        <is>
          <t>Cost unitar energetic</t>
        </is>
      </c>
      <c r="C27" s="12">
        <f>C23*(1-C25)</f>
        <v/>
      </c>
      <c r="D27" s="6" t="inlineStr">
        <is>
          <t>EUR/MWh</t>
        </is>
      </c>
      <c r="E27" s="11" t="inlineStr">
        <is>
          <t>Celule, module, BMS, containere, climatizare — scalează cu MWh</t>
        </is>
      </c>
    </row>
    <row r="28">
      <c r="B28" s="4" t="inlineStr">
        <is>
          <t>Cost echipamente BESS</t>
        </is>
      </c>
      <c r="C28" s="12">
        <f>C27*C12+C26*C14</f>
        <v/>
      </c>
      <c r="D28" s="6" t="inlineStr">
        <is>
          <t>EUR</t>
        </is>
      </c>
      <c r="E28" s="11" t="inlineStr">
        <is>
          <t>Componenta energetică plus componenta de putere. Aceasta este structura care face ca durata de stocare să conteze.</t>
        </is>
      </c>
    </row>
    <row r="30">
      <c r="B30" s="6" t="inlineStr">
        <is>
          <t>Lungime traseu racord</t>
        </is>
      </c>
      <c r="C30" s="10" t="n">
        <v>4.4</v>
      </c>
      <c r="D30" s="6" t="inlineStr">
        <is>
          <t>km</t>
        </is>
      </c>
      <c r="E30" s="11" t="inlineStr">
        <is>
          <t>Variante din planșă: 4,40 / 5,70 / 6,00 / 7,30 km</t>
        </is>
      </c>
    </row>
    <row r="31">
      <c r="B31" s="6" t="inlineStr">
        <is>
          <t>Cost unitar linie 110 kV</t>
        </is>
      </c>
      <c r="C31" s="10" t="n">
        <v>200000</v>
      </c>
      <c r="D31" s="6" t="inlineStr">
        <is>
          <t>EUR/km</t>
        </is>
      </c>
      <c r="E31" s="11" t="inlineStr">
        <is>
          <t>[DE COMPLETAT] din studiul de soluție. Valoare de test.</t>
        </is>
      </c>
    </row>
    <row r="32">
      <c r="B32" s="4" t="inlineStr">
        <is>
          <t>Cost linie de racord</t>
        </is>
      </c>
      <c r="C32" s="12">
        <f>C30*C31</f>
        <v/>
      </c>
      <c r="D32" s="6" t="inlineStr">
        <is>
          <t>EUR</t>
        </is>
      </c>
      <c r="E32" s="11" t="inlineStr">
        <is>
          <t>Lungime x cost unitar</t>
        </is>
      </c>
    </row>
    <row r="33">
      <c r="B33" s="6" t="inlineStr">
        <is>
          <t>Stație de conexiune 110 kV</t>
        </is>
      </c>
      <c r="C33" s="10" t="n">
        <v>30000</v>
      </c>
      <c r="D33" s="6" t="inlineStr">
        <is>
          <t>EUR/MW</t>
        </is>
      </c>
      <c r="E33" s="11" t="inlineStr">
        <is>
          <t>[DE COMPLETAT] din deviz. Scalează cu puterea racordată. Valoare de test.</t>
        </is>
      </c>
    </row>
    <row r="34">
      <c r="B34" s="4" t="inlineStr">
        <is>
          <t>Cost stație de conexiune</t>
        </is>
      </c>
      <c r="C34" s="12">
        <f>C33*C14</f>
        <v/>
      </c>
      <c r="D34" s="6" t="inlineStr">
        <is>
          <t>EUR</t>
        </is>
      </c>
      <c r="E34" s="11" t="inlineStr">
        <is>
          <t>Putere x cost unitar</t>
        </is>
      </c>
    </row>
    <row r="35">
      <c r="B35" s="6" t="inlineStr">
        <is>
          <t>Tarif de racordare</t>
        </is>
      </c>
      <c r="C35" s="10" t="n">
        <v>0</v>
      </c>
      <c r="D35" s="6" t="inlineStr">
        <is>
          <t>EUR</t>
        </is>
      </c>
      <c r="E35" s="11" t="inlineStr">
        <is>
          <t>[DE VERIFICAT] valoarea și eligibilitatea. Se completează după ATR.</t>
        </is>
      </c>
    </row>
    <row r="37">
      <c r="B37" s="6" t="inlineStr">
        <is>
          <t>Construcții civile, platformă, drumuri</t>
        </is>
      </c>
      <c r="C37" s="13" t="n">
        <v>0.08</v>
      </c>
      <c r="D37" s="6" t="inlineStr">
        <is>
          <t>% din echipamente</t>
        </is>
      </c>
      <c r="E37" s="11" t="inlineStr">
        <is>
          <t>[DE COMPLETAT] din deviz</t>
        </is>
      </c>
    </row>
    <row r="38">
      <c r="B38" s="4" t="inlineStr">
        <is>
          <t>Cost construcții civile</t>
        </is>
      </c>
      <c r="C38" s="12">
        <f>C37*C28</f>
        <v/>
      </c>
      <c r="D38" s="6" t="inlineStr">
        <is>
          <t>EUR</t>
        </is>
      </c>
      <c r="E38" s="11" t="n"/>
    </row>
    <row r="39">
      <c r="B39" s="6" t="inlineStr">
        <is>
          <t>Sisteme de siguranță și incendiu</t>
        </is>
      </c>
      <c r="C39" s="13" t="n">
        <v>0.05</v>
      </c>
      <c r="D39" s="6" t="inlineStr">
        <is>
          <t>% din echipamente</t>
        </is>
      </c>
      <c r="E39" s="11" t="inlineStr">
        <is>
          <t>[DE COMPLETAT] din scenariul ISU</t>
        </is>
      </c>
    </row>
    <row r="40">
      <c r="B40" s="4" t="inlineStr">
        <is>
          <t>Cost sisteme de siguranță</t>
        </is>
      </c>
      <c r="C40" s="12">
        <f>C39*C28</f>
        <v/>
      </c>
      <c r="D40" s="6" t="inlineStr">
        <is>
          <t>EUR</t>
        </is>
      </c>
      <c r="E40" s="11" t="n"/>
    </row>
    <row r="41">
      <c r="B41" s="6" t="inlineStr">
        <is>
          <t>Proiectare, avize, consultanță</t>
        </is>
      </c>
      <c r="C41" s="13" t="n">
        <v>0.03</v>
      </c>
      <c r="D41" s="6" t="inlineStr">
        <is>
          <t>% din echipamente</t>
        </is>
      </c>
      <c r="E41" s="11" t="inlineStr">
        <is>
          <t>Probabil NEELIGIBIL [DE VERIFICAT]</t>
        </is>
      </c>
    </row>
    <row r="42">
      <c r="B42" s="4" t="inlineStr">
        <is>
          <t>Cost proiectare și avize</t>
        </is>
      </c>
      <c r="C42" s="12">
        <f>C41*C28</f>
        <v/>
      </c>
      <c r="D42" s="6" t="inlineStr">
        <is>
          <t>EUR</t>
        </is>
      </c>
      <c r="E42" s="11" t="n"/>
    </row>
    <row r="43">
      <c r="B43" s="6" t="inlineStr">
        <is>
          <t>Neprevăzute</t>
        </is>
      </c>
      <c r="C43" s="13" t="n">
        <v>0.1</v>
      </c>
      <c r="D43" s="6" t="inlineStr">
        <is>
          <t>% din total</t>
        </is>
      </c>
      <c r="E43" s="11" t="inlineStr">
        <is>
          <t>Marjă de siguranță pe deviz</t>
        </is>
      </c>
    </row>
    <row r="45">
      <c r="B45" s="8" t="inlineStr">
        <is>
          <t>3. FINANȚARE</t>
        </is>
      </c>
      <c r="C45" s="9" t="n"/>
      <c r="D45" s="9" t="n"/>
      <c r="E45" s="9" t="n"/>
    </row>
    <row r="46">
      <c r="B46" s="6" t="inlineStr">
        <is>
          <t>Ofertă în procedura concurențială</t>
        </is>
      </c>
      <c r="C46" s="10" t="n">
        <v>55000</v>
      </c>
      <c r="D46" s="6" t="inlineStr">
        <is>
          <t>EUR/MWh</t>
        </is>
      </c>
      <c r="E46" s="11" t="inlineStr">
        <is>
          <t>CRITIC: criteriul unic de clasare. Cel mai mic câștigă.</t>
        </is>
      </c>
    </row>
    <row r="47">
      <c r="B47" s="6" t="inlineStr">
        <is>
          <t>Plafon unitar reglementat</t>
        </is>
      </c>
      <c r="C47" s="10" t="n">
        <v>69000</v>
      </c>
      <c r="D47" s="6" t="inlineStr">
        <is>
          <t>EUR/MWh</t>
        </is>
      </c>
      <c r="E47" s="11" t="inlineStr">
        <is>
          <t>Din schema aprobată prin Ordinul 745/2026</t>
        </is>
      </c>
    </row>
    <row r="48">
      <c r="B48" s="6" t="inlineStr">
        <is>
          <t>Plafon per întreprindere</t>
        </is>
      </c>
      <c r="C48" s="10" t="n">
        <v>15000000</v>
      </c>
      <c r="D48" s="6" t="inlineStr">
        <is>
          <t>EUR</t>
        </is>
      </c>
      <c r="E48" s="11" t="inlineStr">
        <is>
          <t>Din schema aprobată prin Ordinul 745/2026</t>
        </is>
      </c>
    </row>
    <row r="50">
      <c r="B50" s="8" t="inlineStr">
        <is>
          <t>4. VENITURI DIN EXPLOATARE</t>
        </is>
      </c>
      <c r="C50" s="9" t="n"/>
      <c r="D50" s="9" t="n"/>
      <c r="E50" s="9" t="n"/>
    </row>
    <row r="51">
      <c r="B51" s="6" t="inlineStr">
        <is>
          <t>Spread mediu valorificat</t>
        </is>
      </c>
      <c r="C51" s="10" t="n">
        <v>60</v>
      </c>
      <c r="D51" s="6" t="inlineStr">
        <is>
          <t>EUR/MWh</t>
        </is>
      </c>
      <c r="E51" s="11" t="inlineStr">
        <is>
          <t>[DE COMPLETAT] din analiza de piață. Valoare de test.</t>
        </is>
      </c>
    </row>
    <row r="52">
      <c r="B52" s="6" t="inlineStr">
        <is>
          <t>Venit din servicii de sistem</t>
        </is>
      </c>
      <c r="C52" s="10" t="n">
        <v>0</v>
      </c>
      <c r="D52" s="6" t="inlineStr">
        <is>
          <t>EUR/MW/an</t>
        </is>
      </c>
      <c r="E52" s="11" t="inlineStr">
        <is>
          <t>[DE COMPLETAT] din analiza de piață. Zero până la fundamentare.</t>
        </is>
      </c>
    </row>
    <row r="53">
      <c r="B53" s="6" t="inlineStr">
        <is>
          <t>Tarife de rețea și consum tehnologic</t>
        </is>
      </c>
      <c r="C53" s="10" t="n">
        <v>0</v>
      </c>
      <c r="D53" s="6" t="inlineStr">
        <is>
          <t>EUR/MWh vehiculat</t>
        </is>
      </c>
      <c r="E53" s="11" t="inlineStr">
        <is>
          <t>[DE VERIFICAT] regimul aplicabil stocării</t>
        </is>
      </c>
    </row>
    <row r="54">
      <c r="B54" s="6" t="inlineStr">
        <is>
          <t>Costuri de operare și mentenanță</t>
        </is>
      </c>
      <c r="C54" s="13" t="n">
        <v>0.015</v>
      </c>
      <c r="D54" s="6" t="inlineStr">
        <is>
          <t>% din CAPEX/an</t>
        </is>
      </c>
      <c r="E54" s="11" t="inlineStr">
        <is>
          <t>[DE COMPLETAT] din contractul O&amp;M</t>
        </is>
      </c>
    </row>
    <row r="55">
      <c r="B55" s="6" t="inlineStr">
        <is>
          <t>Indexare anuală</t>
        </is>
      </c>
      <c r="C55" s="13" t="n">
        <v>0.02</v>
      </c>
      <c r="D55" s="6" t="n"/>
      <c r="E55" s="11" t="inlineStr">
        <is>
          <t>Aplicată veniturilor și cheltuielilor</t>
        </is>
      </c>
    </row>
    <row r="57">
      <c r="B57" s="8" t="inlineStr">
        <is>
          <t>5. PARAMETRI FINANCIARI</t>
        </is>
      </c>
      <c r="C57" s="9" t="n"/>
      <c r="D57" s="9" t="n"/>
      <c r="E57" s="9" t="n"/>
    </row>
    <row r="58">
      <c r="B58" s="6" t="inlineStr">
        <is>
          <t>Durata de analiză</t>
        </is>
      </c>
      <c r="C58" s="10" t="n">
        <v>15</v>
      </c>
      <c r="D58" s="6" t="inlineStr">
        <is>
          <t>ani</t>
        </is>
      </c>
      <c r="E58" s="11" t="inlineStr">
        <is>
          <t>Aliniată cu durata de viață tehnică estimată</t>
        </is>
      </c>
    </row>
    <row r="59">
      <c r="B59" s="6" t="inlineStr">
        <is>
          <t>Rata de actualizare</t>
        </is>
      </c>
      <c r="C59" s="13" t="n">
        <v>0.08</v>
      </c>
      <c r="D59" s="6" t="n"/>
      <c r="E59" s="11" t="inlineStr">
        <is>
          <t>Costul mediu ponderat al capitalului. [DE COMPLETAT]</t>
        </is>
      </c>
    </row>
    <row r="60">
      <c r="B60" s="6" t="inlineStr">
        <is>
          <t>Impozit pe profit</t>
        </is>
      </c>
      <c r="C60" s="13" t="n">
        <v>0.16</v>
      </c>
      <c r="D60" s="6" t="n"/>
      <c r="E60" s="11" t="inlineStr">
        <is>
          <t>Cota standard</t>
        </is>
      </c>
    </row>
    <row r="61">
      <c r="B61" s="6" t="inlineStr">
        <is>
          <t>Durata de amortizare</t>
        </is>
      </c>
      <c r="C61" s="10" t="n">
        <v>15</v>
      </c>
      <c r="D61" s="6" t="inlineStr">
        <is>
          <t>ani</t>
        </is>
      </c>
      <c r="E61" s="11" t="inlineStr">
        <is>
          <t>Liniară</t>
        </is>
      </c>
    </row>
    <row r="63">
      <c r="B63" s="4" t="inlineStr">
        <is>
          <t>SURSE PENTRU REPERELE DE COST</t>
        </is>
      </c>
    </row>
    <row r="64">
      <c r="B64" s="11" t="inlineStr">
        <is>
          <t>BNEF Battery Price Survey (via howtostoreelectricity.com, apr. 2026): sisteme turnkey 4h cca 110-117 USD/kWh media globala 2025; cca 177 USD/kWh Europa; cca 219 USD/kWh SUA.</t>
        </is>
      </c>
    </row>
    <row r="65">
      <c r="B65" s="11" t="inlineStr">
        <is>
          <t>Ember Energy (apr. 2026): capex all-in cca 125 USD/kWh pentru proiecte 4h+ in afara Chinei si SUA, din care cca 75 USD/kWh echipamente si cca 50 USD/kWh instalare si racordare.</t>
        </is>
      </c>
    </row>
    <row r="66">
      <c r="B66" s="11" t="inlineStr">
        <is>
          <t>polinovelbess.com (apr. 2026): EPC Europa 4h LFP cca 180-260 USD/kWh instalat.</t>
        </is>
      </c>
    </row>
    <row r="67">
      <c r="B67" s="11" t="inlineStr">
        <is>
          <t>ATENTIE: acestea sunt repere internationale de piata, nu oferte pentru acest proiect. Se inlocuiesc cu ofertele furnizorilor inainte de orice decizie.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F17"/>
  <sheetViews>
    <sheetView showGridLines="0" zoomScaleNormal="100" workbookViewId="0">
      <selection activeCell="A1" sqref="A1"/>
    </sheetView>
  </sheetViews>
  <sheetFormatPr baseColWidth="8" defaultColWidth="8.6640625" defaultRowHeight="14.4"/>
  <cols>
    <col width="3" customWidth="1" min="1" max="1"/>
    <col width="44" customWidth="1" min="2" max="2"/>
    <col width="18" customWidth="1" min="3" max="3"/>
    <col width="14" customWidth="1" min="4" max="4"/>
    <col width="16" customWidth="1" min="5" max="5"/>
    <col width="40" customWidth="1" min="6" max="6"/>
  </cols>
  <sheetData>
    <row r="2" ht="16.8" customHeight="1">
      <c r="B2" s="1" t="inlineStr">
        <is>
          <t>BUGETUL DE INVESTIȚIE</t>
        </is>
      </c>
    </row>
    <row r="3">
      <c r="B3" s="11" t="inlineStr">
        <is>
          <t>Toate valorile derivă din foaia Ipoteze. Nu se scrie direct în această foaie.</t>
        </is>
      </c>
    </row>
    <row r="5">
      <c r="B5" s="15" t="inlineStr">
        <is>
          <t>Categorie</t>
        </is>
      </c>
      <c r="C5" s="15" t="inlineStr">
        <is>
          <t>Valoare (EUR)</t>
        </is>
      </c>
      <c r="D5" s="15" t="inlineStr">
        <is>
          <t>EUR/MWh</t>
        </is>
      </c>
      <c r="E5" s="15" t="inlineStr">
        <is>
          <t>Eligibil</t>
        </is>
      </c>
      <c r="F5" s="15" t="inlineStr">
        <is>
          <t>Observație</t>
        </is>
      </c>
    </row>
    <row r="6">
      <c r="B6" s="6" t="inlineStr">
        <is>
          <t>Echipamente BESS (celule, PCS, trafo, EMS)</t>
        </is>
      </c>
      <c r="C6" s="16">
        <f>Ipoteze!C28</f>
        <v/>
      </c>
      <c r="D6" s="17">
        <f>IFERROR(C6/Ipoteze!C12,0)</f>
        <v/>
      </c>
      <c r="E6" s="6" t="inlineStr">
        <is>
          <t>DA</t>
        </is>
      </c>
      <c r="F6" s="11" t="inlineStr">
        <is>
          <t>Componenta majoritară</t>
        </is>
      </c>
    </row>
    <row r="7">
      <c r="B7" s="6" t="inlineStr">
        <is>
          <t>Linie de racord 110 kV</t>
        </is>
      </c>
      <c r="C7" s="16">
        <f>Ipoteze!C32</f>
        <v/>
      </c>
      <c r="D7" s="17">
        <f>IFERROR(C7/Ipoteze!C12,0)</f>
        <v/>
      </c>
      <c r="E7" s="6" t="inlineStr">
        <is>
          <t>[DE VERIFICAT]</t>
        </is>
      </c>
      <c r="F7" s="11" t="inlineStr">
        <is>
          <t>Depinde de traseul ales</t>
        </is>
      </c>
    </row>
    <row r="8">
      <c r="B8" s="6" t="inlineStr">
        <is>
          <t>Stație de conexiune</t>
        </is>
      </c>
      <c r="C8" s="16">
        <f>Ipoteze!C34</f>
        <v/>
      </c>
      <c r="D8" s="17">
        <f>IFERROR(C8/Ipoteze!C12,0)</f>
        <v/>
      </c>
      <c r="E8" s="6" t="inlineStr">
        <is>
          <t>DA</t>
        </is>
      </c>
      <c r="F8" s="11" t="inlineStr">
        <is>
          <t>[DE COMPLETAT] din deviz</t>
        </is>
      </c>
    </row>
    <row r="9">
      <c r="B9" s="6" t="inlineStr">
        <is>
          <t>Tarif de racordare</t>
        </is>
      </c>
      <c r="C9" s="16">
        <f>Ipoteze!C35</f>
        <v/>
      </c>
      <c r="D9" s="17">
        <f>IFERROR(C9/Ipoteze!C12,0)</f>
        <v/>
      </c>
      <c r="E9" s="6" t="inlineStr">
        <is>
          <t>[DE VERIFICAT]</t>
        </is>
      </c>
      <c r="F9" s="11" t="inlineStr">
        <is>
          <t>Se completează după ATR</t>
        </is>
      </c>
    </row>
    <row r="10">
      <c r="B10" s="6" t="inlineStr">
        <is>
          <t>Construcții civile</t>
        </is>
      </c>
      <c r="C10" s="16">
        <f>Ipoteze!C38</f>
        <v/>
      </c>
      <c r="D10" s="17">
        <f>IFERROR(C10/Ipoteze!C12,0)</f>
        <v/>
      </c>
      <c r="E10" s="6" t="inlineStr">
        <is>
          <t>DA</t>
        </is>
      </c>
      <c r="F10" s="11" t="n"/>
    </row>
    <row r="11">
      <c r="B11" s="6" t="inlineStr">
        <is>
          <t>Sisteme de siguranță și incendiu</t>
        </is>
      </c>
      <c r="C11" s="16">
        <f>Ipoteze!C40</f>
        <v/>
      </c>
      <c r="D11" s="17">
        <f>IFERROR(C11/Ipoteze!C12,0)</f>
        <v/>
      </c>
      <c r="E11" s="6" t="inlineStr">
        <is>
          <t>DA</t>
        </is>
      </c>
      <c r="F11" s="11" t="inlineStr">
        <is>
          <t>Frecvent subestimat</t>
        </is>
      </c>
    </row>
    <row r="12">
      <c r="B12" s="6" t="inlineStr">
        <is>
          <t>Proiectare, avize, consultanță</t>
        </is>
      </c>
      <c r="C12" s="16">
        <f>Ipoteze!C42</f>
        <v/>
      </c>
      <c r="D12" s="17">
        <f>IFERROR(C12/Ipoteze!C12,0)</f>
        <v/>
      </c>
      <c r="E12" s="6" t="inlineStr">
        <is>
          <t>NU (probabil)</t>
        </is>
      </c>
      <c r="F12" s="11" t="inlineStr">
        <is>
          <t>[DE VERIFICAT] în ghid</t>
        </is>
      </c>
    </row>
    <row r="13">
      <c r="B13" s="4" t="inlineStr">
        <is>
          <t>Subtotal</t>
        </is>
      </c>
      <c r="C13" s="18">
        <f>SUM(C6:C12)</f>
        <v/>
      </c>
      <c r="D13" s="18">
        <f>C13/Ipoteze!C12</f>
        <v/>
      </c>
    </row>
    <row r="14">
      <c r="B14" s="6" t="inlineStr">
        <is>
          <t>Neprevăzute</t>
        </is>
      </c>
      <c r="C14" s="17">
        <f>C13*Ipoteze!C43</f>
        <v/>
      </c>
      <c r="D14" s="19">
        <f>C14/Ipoteze!C12</f>
        <v/>
      </c>
    </row>
    <row r="16">
      <c r="B16" s="4" t="inlineStr">
        <is>
          <t>TOTAL INVESTIȚIE</t>
        </is>
      </c>
      <c r="C16" s="20">
        <f>C13+C14</f>
        <v/>
      </c>
      <c r="D16" s="21">
        <f>C16/Ipoteze!C12</f>
        <v/>
      </c>
    </row>
    <row r="17">
      <c r="B17" s="4" t="inlineStr">
        <is>
          <t>Total cheltuieli eligibile (estimat)</t>
        </is>
      </c>
      <c r="C17" s="22">
        <f>C6+C8+C10+C11</f>
        <v/>
      </c>
      <c r="D17" s="19">
        <f>C17/Ipoteze!C12</f>
        <v/>
      </c>
      <c r="F17" s="11" t="inlineStr">
        <is>
          <t>Exclude proiectarea și, prudent, linia și tariful de racordare până la clarificare</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D22"/>
  <sheetViews>
    <sheetView showGridLines="0" zoomScaleNormal="100" workbookViewId="0">
      <selection activeCell="A1" sqref="A1"/>
    </sheetView>
  </sheetViews>
  <sheetFormatPr baseColWidth="8" defaultColWidth="8.6640625" defaultRowHeight="14.4"/>
  <cols>
    <col width="3" customWidth="1" min="1" max="1"/>
    <col width="48" customWidth="1" min="2" max="2"/>
    <col width="18" customWidth="1" min="3" max="3"/>
    <col width="60" customWidth="1" min="4" max="4"/>
  </cols>
  <sheetData>
    <row r="2" ht="16.8" customHeight="1">
      <c r="B2" s="1" t="inlineStr">
        <is>
          <t>STRUCTURA DE FINANȚARE ȘI TESTUL PLAFOANELOR</t>
        </is>
      </c>
    </row>
    <row r="4">
      <c r="B4" s="6" t="inlineStr">
        <is>
          <t>Ajutor cerut = ofertă x capacitate</t>
        </is>
      </c>
      <c r="C4" s="23">
        <f>Ipoteze!C46*Ipoteze!C12</f>
        <v/>
      </c>
      <c r="D4" s="11" t="inlineStr">
        <is>
          <t>Produsul dintre oferta în EUR/MWh și MWh instalați</t>
        </is>
      </c>
    </row>
    <row r="5">
      <c r="B5" s="6" t="inlineStr">
        <is>
          <t>Test 1: plafon unitar (69.000 EUR/MWh)</t>
        </is>
      </c>
      <c r="C5" s="23">
        <f>Ipoteze!C47*Ipoteze!C12</f>
        <v/>
      </c>
      <c r="D5" s="11" t="inlineStr">
        <is>
          <t>Ajutorul nu poate depăși această valoare</t>
        </is>
      </c>
    </row>
    <row r="6">
      <c r="B6" s="6" t="inlineStr">
        <is>
          <t>Test 2: plafon per întreprindere</t>
        </is>
      </c>
      <c r="C6" s="23">
        <f>Ipoteze!C48</f>
        <v/>
      </c>
      <c r="D6" s="11" t="inlineStr">
        <is>
          <t>Ajutorul nu poate depăși 15 mil. EUR</t>
        </is>
      </c>
    </row>
    <row r="7">
      <c r="B7" s="6" t="inlineStr">
        <is>
          <t>Test 3: 100% din cheltuielile eligibile</t>
        </is>
      </c>
      <c r="C7" s="23">
        <f>CAPEX!C17</f>
        <v/>
      </c>
      <c r="D7" s="11" t="inlineStr">
        <is>
          <t>Intensitatea nu poate depăși 100% din costurile eligibile</t>
        </is>
      </c>
    </row>
    <row r="8">
      <c r="B8" s="4" t="inlineStr">
        <is>
          <t>AJUTOR ACORDABIL</t>
        </is>
      </c>
      <c r="C8" s="20">
        <f>MIN(C4,C5,C6,C7)</f>
        <v/>
      </c>
      <c r="D8" s="11" t="inlineStr">
        <is>
          <t>Valoarea cea mai mică dintre cererea proprie și cele trei plafoane</t>
        </is>
      </c>
    </row>
    <row r="10">
      <c r="B10" s="4" t="inlineStr">
        <is>
          <t>Contribuție proprie</t>
        </is>
      </c>
      <c r="C10" s="20">
        <f>CAPEX!C16-C8</f>
        <v/>
      </c>
      <c r="D10" s="11" t="inlineStr">
        <is>
          <t>Diferența dintre investiția totală și ajutor</t>
        </is>
      </c>
    </row>
    <row r="11">
      <c r="B11" s="4" t="inlineStr">
        <is>
          <t>Ponderea ajutorului în investiția totală</t>
        </is>
      </c>
      <c r="C11" s="24">
        <f>IFERROR(C8/CAPEX!C16,0)</f>
        <v/>
      </c>
      <c r="D11" s="11" t="inlineStr">
        <is>
          <t>Cât din proiect acoperă efectiv grantul</t>
        </is>
      </c>
    </row>
    <row r="12">
      <c r="B12" s="6" t="inlineStr">
        <is>
          <t>Intensitate față de cheltuielile eligibile</t>
        </is>
      </c>
      <c r="C12" s="25">
        <f>IFERROR(C8/CAPEX!C17,0)</f>
        <v/>
      </c>
      <c r="D12" s="11" t="inlineStr">
        <is>
          <t>Trebuie să fie sub 100%</t>
        </is>
      </c>
    </row>
    <row r="14">
      <c r="B14" s="4" t="inlineStr">
        <is>
          <t>VERIFICĂRI</t>
        </is>
      </c>
    </row>
    <row r="15">
      <c r="B15" s="6" t="inlineStr">
        <is>
          <t>Oferta este sub plafonul unitar?</t>
        </is>
      </c>
      <c r="C15" s="26">
        <f>IF(Ipoteze!C46&lt;=Ipoteze!C47,"DA","NU — OFERTĂ NECONFORMĂ")</f>
        <v/>
      </c>
      <c r="D15" s="11" t="inlineStr">
        <is>
          <t>Oferta peste 69.000 EUR/MWh este inadmisibilă</t>
        </is>
      </c>
    </row>
    <row r="16">
      <c r="B16" s="6" t="inlineStr">
        <is>
          <t>Ajutorul acoperă cheltuielile eligibile?</t>
        </is>
      </c>
      <c r="C16" s="26">
        <f>IF(C8&lt;=CAPEX!C17,"DA","NU — DEPĂȘEȘTE 100%")</f>
        <v/>
      </c>
      <c r="D16" s="11" t="inlineStr">
        <is>
          <t>Ajutorul nu poate depăși costurile eligibile</t>
        </is>
      </c>
    </row>
    <row r="17">
      <c r="B17" s="6" t="inlineStr">
        <is>
          <t>Raport capacitate/putere conform?</t>
        </is>
      </c>
      <c r="C17" s="26">
        <f>IF(Ipoteze!C13&gt;=2,"DA","NU — SUB MINIMUL DE 2:1")</f>
        <v/>
      </c>
      <c r="D17" s="11" t="inlineStr">
        <is>
          <t>Ghidul cere minimum 2 ore</t>
        </is>
      </c>
    </row>
    <row r="18">
      <c r="B18" s="6" t="inlineStr">
        <is>
          <t>Putere peste minimul de 1 MW?</t>
        </is>
      </c>
      <c r="C18" s="26">
        <f>IF(Ipoteze!C14&gt;=1,"DA","NU")</f>
        <v/>
      </c>
      <c r="D18" s="11" t="inlineStr">
        <is>
          <t>Ghidul cere minimum 1 MW</t>
        </is>
      </c>
    </row>
    <row r="21">
      <c r="B21" s="4" t="inlineStr">
        <is>
          <t>OBSERVAȚIE</t>
        </is>
      </c>
    </row>
    <row r="22">
      <c r="B22" s="11" t="inlineStr">
        <is>
          <t>Cu reperele de cost europene, ajutorul acoperă o parte minoritară a investiției. Aceasta este premisa de planificare, nu o eroare de model.</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R22"/>
  <sheetViews>
    <sheetView showGridLines="0" zoomScaleNormal="100" workbookViewId="0">
      <selection activeCell="A1" sqref="A1"/>
    </sheetView>
  </sheetViews>
  <sheetFormatPr baseColWidth="8" defaultColWidth="8.6640625" defaultRowHeight="14.4"/>
  <cols>
    <col width="3" customWidth="1" min="1" max="1"/>
    <col width="40" customWidth="1" min="2" max="2"/>
    <col width="12" customWidth="1" min="3" max="18"/>
  </cols>
  <sheetData>
    <row r="2" ht="16.8" customHeight="1">
      <c r="B2" s="1" t="inlineStr">
        <is>
          <t>PROIECȚIA FLUXURILOR DE NUMERAR</t>
        </is>
      </c>
    </row>
    <row r="3">
      <c r="B3" s="11" t="inlineStr">
        <is>
          <t>Anul 0 = investiția. Anii 1-15 = exploatare.</t>
        </is>
      </c>
    </row>
    <row r="5">
      <c r="C5" s="27" t="inlineStr">
        <is>
          <t>An 0</t>
        </is>
      </c>
      <c r="D5" s="27" t="inlineStr">
        <is>
          <t>An 1</t>
        </is>
      </c>
      <c r="E5" s="27" t="inlineStr">
        <is>
          <t>An 2</t>
        </is>
      </c>
      <c r="F5" s="27" t="inlineStr">
        <is>
          <t>An 3</t>
        </is>
      </c>
      <c r="G5" s="27" t="inlineStr">
        <is>
          <t>An 4</t>
        </is>
      </c>
      <c r="H5" s="27" t="inlineStr">
        <is>
          <t>An 5</t>
        </is>
      </c>
      <c r="I5" s="27" t="inlineStr">
        <is>
          <t>An 6</t>
        </is>
      </c>
      <c r="J5" s="27" t="inlineStr">
        <is>
          <t>An 7</t>
        </is>
      </c>
      <c r="K5" s="27" t="inlineStr">
        <is>
          <t>An 8</t>
        </is>
      </c>
      <c r="L5" s="27" t="inlineStr">
        <is>
          <t>An 9</t>
        </is>
      </c>
      <c r="M5" s="27" t="inlineStr">
        <is>
          <t>An 10</t>
        </is>
      </c>
      <c r="N5" s="27" t="inlineStr">
        <is>
          <t>An 11</t>
        </is>
      </c>
      <c r="O5" s="27" t="inlineStr">
        <is>
          <t>An 12</t>
        </is>
      </c>
      <c r="P5" s="27" t="inlineStr">
        <is>
          <t>An 13</t>
        </is>
      </c>
      <c r="Q5" s="27" t="inlineStr">
        <is>
          <t>An 14</t>
        </is>
      </c>
      <c r="R5" s="27" t="inlineStr">
        <is>
          <t>An 15</t>
        </is>
      </c>
    </row>
    <row r="7">
      <c r="B7" s="6" t="inlineStr">
        <is>
          <t>Energie descărcată (MWh/an)</t>
        </is>
      </c>
      <c r="C7" s="28" t="n">
        <v>0</v>
      </c>
      <c r="D7" s="28">
        <f>Ipoteze!C12*Ipoteze!C18*Ipoteze!C17*(1-Ipoteze!C16)^1</f>
        <v/>
      </c>
      <c r="E7" s="28">
        <f>Ipoteze!C12*Ipoteze!C18*Ipoteze!C17*(1-Ipoteze!C16)^2</f>
        <v/>
      </c>
      <c r="F7" s="28">
        <f>Ipoteze!C12*Ipoteze!C18*Ipoteze!C17*(1-Ipoteze!C16)^3</f>
        <v/>
      </c>
      <c r="G7" s="28">
        <f>Ipoteze!C12*Ipoteze!C18*Ipoteze!C17*(1-Ipoteze!C16)^4</f>
        <v/>
      </c>
      <c r="H7" s="28">
        <f>Ipoteze!C12*Ipoteze!C18*Ipoteze!C17*(1-Ipoteze!C16)^5</f>
        <v/>
      </c>
      <c r="I7" s="28">
        <f>Ipoteze!C12*Ipoteze!C18*Ipoteze!C17*(1-Ipoteze!C16)^6</f>
        <v/>
      </c>
      <c r="J7" s="28">
        <f>Ipoteze!C12*Ipoteze!C18*Ipoteze!C17*(1-Ipoteze!C16)^7</f>
        <v/>
      </c>
      <c r="K7" s="28">
        <f>Ipoteze!C12*Ipoteze!C18*Ipoteze!C17*(1-Ipoteze!C16)^8</f>
        <v/>
      </c>
      <c r="L7" s="28">
        <f>Ipoteze!C12*Ipoteze!C18*Ipoteze!C17*(1-Ipoteze!C16)^9</f>
        <v/>
      </c>
      <c r="M7" s="28">
        <f>Ipoteze!C12*Ipoteze!C18*Ipoteze!C17*(1-Ipoteze!C16)^10</f>
        <v/>
      </c>
      <c r="N7" s="28">
        <f>Ipoteze!C12*Ipoteze!C18*Ipoteze!C17*(1-Ipoteze!C16)^11</f>
        <v/>
      </c>
      <c r="O7" s="28">
        <f>Ipoteze!C12*Ipoteze!C18*Ipoteze!C17*(1-Ipoteze!C16)^12</f>
        <v/>
      </c>
      <c r="P7" s="28">
        <f>Ipoteze!C12*Ipoteze!C18*Ipoteze!C17*(1-Ipoteze!C16)^13</f>
        <v/>
      </c>
      <c r="Q7" s="28">
        <f>Ipoteze!C12*Ipoteze!C18*Ipoteze!C17*(1-Ipoteze!C16)^14</f>
        <v/>
      </c>
      <c r="R7" s="28">
        <f>Ipoteze!C12*Ipoteze!C18*Ipoteze!C17*(1-Ipoteze!C16)^15</f>
        <v/>
      </c>
    </row>
    <row r="8">
      <c r="B8" s="6" t="inlineStr">
        <is>
          <t>Venit din arbitraj</t>
        </is>
      </c>
      <c r="C8" s="17" t="n">
        <v>0</v>
      </c>
      <c r="D8" s="17">
        <f>D7*Ipoteze!C51*(1+Ipoteze!C55)^1</f>
        <v/>
      </c>
      <c r="E8" s="17">
        <f>E7*Ipoteze!C51*(1+Ipoteze!C55)^2</f>
        <v/>
      </c>
      <c r="F8" s="17">
        <f>F7*Ipoteze!C51*(1+Ipoteze!C55)^3</f>
        <v/>
      </c>
      <c r="G8" s="17">
        <f>G7*Ipoteze!C51*(1+Ipoteze!C55)^4</f>
        <v/>
      </c>
      <c r="H8" s="17">
        <f>H7*Ipoteze!C51*(1+Ipoteze!C55)^5</f>
        <v/>
      </c>
      <c r="I8" s="17">
        <f>I7*Ipoteze!C51*(1+Ipoteze!C55)^6</f>
        <v/>
      </c>
      <c r="J8" s="17">
        <f>J7*Ipoteze!C51*(1+Ipoteze!C55)^7</f>
        <v/>
      </c>
      <c r="K8" s="17">
        <f>K7*Ipoteze!C51*(1+Ipoteze!C55)^8</f>
        <v/>
      </c>
      <c r="L8" s="17">
        <f>L7*Ipoteze!C51*(1+Ipoteze!C55)^9</f>
        <v/>
      </c>
      <c r="M8" s="17">
        <f>M7*Ipoteze!C51*(1+Ipoteze!C55)^10</f>
        <v/>
      </c>
      <c r="N8" s="17">
        <f>N7*Ipoteze!C51*(1+Ipoteze!C55)^11</f>
        <v/>
      </c>
      <c r="O8" s="17">
        <f>O7*Ipoteze!C51*(1+Ipoteze!C55)^12</f>
        <v/>
      </c>
      <c r="P8" s="17">
        <f>P7*Ipoteze!C51*(1+Ipoteze!C55)^13</f>
        <v/>
      </c>
      <c r="Q8" s="17">
        <f>Q7*Ipoteze!C51*(1+Ipoteze!C55)^14</f>
        <v/>
      </c>
      <c r="R8" s="17">
        <f>R7*Ipoteze!C51*(1+Ipoteze!C55)^15</f>
        <v/>
      </c>
    </row>
    <row r="9">
      <c r="B9" s="6" t="inlineStr">
        <is>
          <t>Venit din servicii de sistem</t>
        </is>
      </c>
      <c r="C9" s="17" t="n">
        <v>0</v>
      </c>
      <c r="D9" s="17">
        <f>Ipoteze!C14*Ipoteze!C52*(1+Ipoteze!C55)^1</f>
        <v/>
      </c>
      <c r="E9" s="17">
        <f>Ipoteze!C14*Ipoteze!C52*(1+Ipoteze!C55)^2</f>
        <v/>
      </c>
      <c r="F9" s="17">
        <f>Ipoteze!C14*Ipoteze!C52*(1+Ipoteze!C55)^3</f>
        <v/>
      </c>
      <c r="G9" s="17">
        <f>Ipoteze!C14*Ipoteze!C52*(1+Ipoteze!C55)^4</f>
        <v/>
      </c>
      <c r="H9" s="17">
        <f>Ipoteze!C14*Ipoteze!C52*(1+Ipoteze!C55)^5</f>
        <v/>
      </c>
      <c r="I9" s="17">
        <f>Ipoteze!C14*Ipoteze!C52*(1+Ipoteze!C55)^6</f>
        <v/>
      </c>
      <c r="J9" s="17">
        <f>Ipoteze!C14*Ipoteze!C52*(1+Ipoteze!C55)^7</f>
        <v/>
      </c>
      <c r="K9" s="17">
        <f>Ipoteze!C14*Ipoteze!C52*(1+Ipoteze!C55)^8</f>
        <v/>
      </c>
      <c r="L9" s="17">
        <f>Ipoteze!C14*Ipoteze!C52*(1+Ipoteze!C55)^9</f>
        <v/>
      </c>
      <c r="M9" s="17">
        <f>Ipoteze!C14*Ipoteze!C52*(1+Ipoteze!C55)^10</f>
        <v/>
      </c>
      <c r="N9" s="17">
        <f>Ipoteze!C14*Ipoteze!C52*(1+Ipoteze!C55)^11</f>
        <v/>
      </c>
      <c r="O9" s="17">
        <f>Ipoteze!C14*Ipoteze!C52*(1+Ipoteze!C55)^12</f>
        <v/>
      </c>
      <c r="P9" s="17">
        <f>Ipoteze!C14*Ipoteze!C52*(1+Ipoteze!C55)^13</f>
        <v/>
      </c>
      <c r="Q9" s="17">
        <f>Ipoteze!C14*Ipoteze!C52*(1+Ipoteze!C55)^14</f>
        <v/>
      </c>
      <c r="R9" s="17">
        <f>Ipoteze!C14*Ipoteze!C52*(1+Ipoteze!C55)^15</f>
        <v/>
      </c>
    </row>
    <row r="10">
      <c r="B10" s="6" t="inlineStr">
        <is>
          <t>Costuri de rețea și consum tehnologic</t>
        </is>
      </c>
      <c r="C10" s="17" t="n">
        <v>0</v>
      </c>
      <c r="D10" s="17">
        <f>-D7*Ipoteze!C53*(1+Ipoteze!C55)^1</f>
        <v/>
      </c>
      <c r="E10" s="17">
        <f>-E7*Ipoteze!C53*(1+Ipoteze!C55)^2</f>
        <v/>
      </c>
      <c r="F10" s="17">
        <f>-F7*Ipoteze!C53*(1+Ipoteze!C55)^3</f>
        <v/>
      </c>
      <c r="G10" s="17">
        <f>-G7*Ipoteze!C53*(1+Ipoteze!C55)^4</f>
        <v/>
      </c>
      <c r="H10" s="17">
        <f>-H7*Ipoteze!C53*(1+Ipoteze!C55)^5</f>
        <v/>
      </c>
      <c r="I10" s="17">
        <f>-I7*Ipoteze!C53*(1+Ipoteze!C55)^6</f>
        <v/>
      </c>
      <c r="J10" s="17">
        <f>-J7*Ipoteze!C53*(1+Ipoteze!C55)^7</f>
        <v/>
      </c>
      <c r="K10" s="17">
        <f>-K7*Ipoteze!C53*(1+Ipoteze!C55)^8</f>
        <v/>
      </c>
      <c r="L10" s="17">
        <f>-L7*Ipoteze!C53*(1+Ipoteze!C55)^9</f>
        <v/>
      </c>
      <c r="M10" s="17">
        <f>-M7*Ipoteze!C53*(1+Ipoteze!C55)^10</f>
        <v/>
      </c>
      <c r="N10" s="17">
        <f>-N7*Ipoteze!C53*(1+Ipoteze!C55)^11</f>
        <v/>
      </c>
      <c r="O10" s="17">
        <f>-O7*Ipoteze!C53*(1+Ipoteze!C55)^12</f>
        <v/>
      </c>
      <c r="P10" s="17">
        <f>-P7*Ipoteze!C53*(1+Ipoteze!C55)^13</f>
        <v/>
      </c>
      <c r="Q10" s="17">
        <f>-Q7*Ipoteze!C53*(1+Ipoteze!C55)^14</f>
        <v/>
      </c>
      <c r="R10" s="17">
        <f>-R7*Ipoteze!C53*(1+Ipoteze!C55)^15</f>
        <v/>
      </c>
    </row>
    <row r="11">
      <c r="B11" s="6" t="inlineStr">
        <is>
          <t>Costuri O&amp;M</t>
        </is>
      </c>
      <c r="C11" s="17" t="n">
        <v>0</v>
      </c>
      <c r="D11" s="17">
        <f>-CAPEX!$C$16*Ipoteze!C54*(1+Ipoteze!C55)^1</f>
        <v/>
      </c>
      <c r="E11" s="17">
        <f>-CAPEX!$C$16*Ipoteze!C54*(1+Ipoteze!C55)^2</f>
        <v/>
      </c>
      <c r="F11" s="17">
        <f>-CAPEX!$C$16*Ipoteze!C54*(1+Ipoteze!C55)^3</f>
        <v/>
      </c>
      <c r="G11" s="17">
        <f>-CAPEX!$C$16*Ipoteze!C54*(1+Ipoteze!C55)^4</f>
        <v/>
      </c>
      <c r="H11" s="17">
        <f>-CAPEX!$C$16*Ipoteze!C54*(1+Ipoteze!C55)^5</f>
        <v/>
      </c>
      <c r="I11" s="17">
        <f>-CAPEX!$C$16*Ipoteze!C54*(1+Ipoteze!C55)^6</f>
        <v/>
      </c>
      <c r="J11" s="17">
        <f>-CAPEX!$C$16*Ipoteze!C54*(1+Ipoteze!C55)^7</f>
        <v/>
      </c>
      <c r="K11" s="17">
        <f>-CAPEX!$C$16*Ipoteze!C54*(1+Ipoteze!C55)^8</f>
        <v/>
      </c>
      <c r="L11" s="17">
        <f>-CAPEX!$C$16*Ipoteze!C54*(1+Ipoteze!C55)^9</f>
        <v/>
      </c>
      <c r="M11" s="17">
        <f>-CAPEX!$C$16*Ipoteze!C54*(1+Ipoteze!C55)^10</f>
        <v/>
      </c>
      <c r="N11" s="17">
        <f>-CAPEX!$C$16*Ipoteze!C54*(1+Ipoteze!C55)^11</f>
        <v/>
      </c>
      <c r="O11" s="17">
        <f>-CAPEX!$C$16*Ipoteze!C54*(1+Ipoteze!C55)^12</f>
        <v/>
      </c>
      <c r="P11" s="17">
        <f>-CAPEX!$C$16*Ipoteze!C54*(1+Ipoteze!C55)^13</f>
        <v/>
      </c>
      <c r="Q11" s="17">
        <f>-CAPEX!$C$16*Ipoteze!C54*(1+Ipoteze!C55)^14</f>
        <v/>
      </c>
      <c r="R11" s="17">
        <f>-CAPEX!$C$16*Ipoteze!C54*(1+Ipoteze!C55)^15</f>
        <v/>
      </c>
    </row>
    <row r="12">
      <c r="B12" s="4" t="inlineStr">
        <is>
          <t>EBITDA</t>
        </is>
      </c>
      <c r="C12" s="29" t="n">
        <v>0</v>
      </c>
      <c r="D12" s="29">
        <f>SUM(D8:D11)</f>
        <v/>
      </c>
      <c r="E12" s="29">
        <f>SUM(E8:E11)</f>
        <v/>
      </c>
      <c r="F12" s="29">
        <f>SUM(F8:F11)</f>
        <v/>
      </c>
      <c r="G12" s="29">
        <f>SUM(G8:G11)</f>
        <v/>
      </c>
      <c r="H12" s="29">
        <f>SUM(H8:H11)</f>
        <v/>
      </c>
      <c r="I12" s="29">
        <f>SUM(I8:I11)</f>
        <v/>
      </c>
      <c r="J12" s="29">
        <f>SUM(J8:J11)</f>
        <v/>
      </c>
      <c r="K12" s="29">
        <f>SUM(K8:K11)</f>
        <v/>
      </c>
      <c r="L12" s="29">
        <f>SUM(L8:L11)</f>
        <v/>
      </c>
      <c r="M12" s="29">
        <f>SUM(M8:M11)</f>
        <v/>
      </c>
      <c r="N12" s="29">
        <f>SUM(N8:N11)</f>
        <v/>
      </c>
      <c r="O12" s="29">
        <f>SUM(O8:O11)</f>
        <v/>
      </c>
      <c r="P12" s="29">
        <f>SUM(P8:P11)</f>
        <v/>
      </c>
      <c r="Q12" s="29">
        <f>SUM(Q8:Q11)</f>
        <v/>
      </c>
      <c r="R12" s="29">
        <f>SUM(R8:R11)</f>
        <v/>
      </c>
    </row>
    <row r="13">
      <c r="B13" s="6" t="inlineStr">
        <is>
          <t>Amortizare</t>
        </is>
      </c>
      <c r="C13" s="17" t="n">
        <v>0</v>
      </c>
      <c r="D13" s="17">
        <f>IF(1&lt;=Ipoteze!C61,-CAPEX!$C$16/Ipoteze!C61,0)</f>
        <v/>
      </c>
      <c r="E13" s="17">
        <f>IF(2&lt;=Ipoteze!C61,-CAPEX!$C$16/Ipoteze!C61,0)</f>
        <v/>
      </c>
      <c r="F13" s="17">
        <f>IF(3&lt;=Ipoteze!C61,-CAPEX!$C$16/Ipoteze!C61,0)</f>
        <v/>
      </c>
      <c r="G13" s="17">
        <f>IF(4&lt;=Ipoteze!C61,-CAPEX!$C$16/Ipoteze!C61,0)</f>
        <v/>
      </c>
      <c r="H13" s="17">
        <f>IF(5&lt;=Ipoteze!C61,-CAPEX!$C$16/Ipoteze!C61,0)</f>
        <v/>
      </c>
      <c r="I13" s="17">
        <f>IF(6&lt;=Ipoteze!C61,-CAPEX!$C$16/Ipoteze!C61,0)</f>
        <v/>
      </c>
      <c r="J13" s="17">
        <f>IF(7&lt;=Ipoteze!C61,-CAPEX!$C$16/Ipoteze!C61,0)</f>
        <v/>
      </c>
      <c r="K13" s="17">
        <f>IF(8&lt;=Ipoteze!C61,-CAPEX!$C$16/Ipoteze!C61,0)</f>
        <v/>
      </c>
      <c r="L13" s="17">
        <f>IF(9&lt;=Ipoteze!C61,-CAPEX!$C$16/Ipoteze!C61,0)</f>
        <v/>
      </c>
      <c r="M13" s="17">
        <f>IF(10&lt;=Ipoteze!C61,-CAPEX!$C$16/Ipoteze!C61,0)</f>
        <v/>
      </c>
      <c r="N13" s="17">
        <f>IF(11&lt;=Ipoteze!C61,-CAPEX!$C$16/Ipoteze!C61,0)</f>
        <v/>
      </c>
      <c r="O13" s="17">
        <f>IF(12&lt;=Ipoteze!C61,-CAPEX!$C$16/Ipoteze!C61,0)</f>
        <v/>
      </c>
      <c r="P13" s="17">
        <f>IF(13&lt;=Ipoteze!C61,-CAPEX!$C$16/Ipoteze!C61,0)</f>
        <v/>
      </c>
      <c r="Q13" s="17">
        <f>IF(14&lt;=Ipoteze!C61,-CAPEX!$C$16/Ipoteze!C61,0)</f>
        <v/>
      </c>
      <c r="R13" s="17">
        <f>IF(15&lt;=Ipoteze!C61,-CAPEX!$C$16/Ipoteze!C61,0)</f>
        <v/>
      </c>
    </row>
    <row r="14">
      <c r="B14" s="6" t="inlineStr">
        <is>
          <t>Profit brut</t>
        </is>
      </c>
      <c r="C14" s="17" t="n">
        <v>0</v>
      </c>
      <c r="D14" s="17">
        <f>D12+D13</f>
        <v/>
      </c>
      <c r="E14" s="17">
        <f>E12+E13</f>
        <v/>
      </c>
      <c r="F14" s="17">
        <f>F12+F13</f>
        <v/>
      </c>
      <c r="G14" s="17">
        <f>G12+G13</f>
        <v/>
      </c>
      <c r="H14" s="17">
        <f>H12+H13</f>
        <v/>
      </c>
      <c r="I14" s="17">
        <f>I12+I13</f>
        <v/>
      </c>
      <c r="J14" s="17">
        <f>J12+J13</f>
        <v/>
      </c>
      <c r="K14" s="17">
        <f>K12+K13</f>
        <v/>
      </c>
      <c r="L14" s="17">
        <f>L12+L13</f>
        <v/>
      </c>
      <c r="M14" s="17">
        <f>M12+M13</f>
        <v/>
      </c>
      <c r="N14" s="17">
        <f>N12+N13</f>
        <v/>
      </c>
      <c r="O14" s="17">
        <f>O12+O13</f>
        <v/>
      </c>
      <c r="P14" s="17">
        <f>P12+P13</f>
        <v/>
      </c>
      <c r="Q14" s="17">
        <f>Q12+Q13</f>
        <v/>
      </c>
      <c r="R14" s="17">
        <f>R12+R13</f>
        <v/>
      </c>
    </row>
    <row r="15">
      <c r="B15" s="6" t="inlineStr">
        <is>
          <t>Impozit pe profit</t>
        </is>
      </c>
      <c r="C15" s="17" t="n">
        <v>0</v>
      </c>
      <c r="D15" s="17">
        <f>-MAX(0,D14)*Ipoteze!C60</f>
        <v/>
      </c>
      <c r="E15" s="17">
        <f>-MAX(0,E14)*Ipoteze!C60</f>
        <v/>
      </c>
      <c r="F15" s="17">
        <f>-MAX(0,F14)*Ipoteze!C60</f>
        <v/>
      </c>
      <c r="G15" s="17">
        <f>-MAX(0,G14)*Ipoteze!C60</f>
        <v/>
      </c>
      <c r="H15" s="17">
        <f>-MAX(0,H14)*Ipoteze!C60</f>
        <v/>
      </c>
      <c r="I15" s="17">
        <f>-MAX(0,I14)*Ipoteze!C60</f>
        <v/>
      </c>
      <c r="J15" s="17">
        <f>-MAX(0,J14)*Ipoteze!C60</f>
        <v/>
      </c>
      <c r="K15" s="17">
        <f>-MAX(0,K14)*Ipoteze!C60</f>
        <v/>
      </c>
      <c r="L15" s="17">
        <f>-MAX(0,L14)*Ipoteze!C60</f>
        <v/>
      </c>
      <c r="M15" s="17">
        <f>-MAX(0,M14)*Ipoteze!C60</f>
        <v/>
      </c>
      <c r="N15" s="17">
        <f>-MAX(0,N14)*Ipoteze!C60</f>
        <v/>
      </c>
      <c r="O15" s="17">
        <f>-MAX(0,O14)*Ipoteze!C60</f>
        <v/>
      </c>
      <c r="P15" s="17">
        <f>-MAX(0,P14)*Ipoteze!C60</f>
        <v/>
      </c>
      <c r="Q15" s="17">
        <f>-MAX(0,Q14)*Ipoteze!C60</f>
        <v/>
      </c>
      <c r="R15" s="17">
        <f>-MAX(0,R14)*Ipoteze!C60</f>
        <v/>
      </c>
    </row>
    <row r="16">
      <c r="B16" s="6" t="inlineStr">
        <is>
          <t>Profit net</t>
        </is>
      </c>
      <c r="C16" s="17" t="n">
        <v>0</v>
      </c>
      <c r="D16" s="17">
        <f>D14+D15</f>
        <v/>
      </c>
      <c r="E16" s="17">
        <f>E14+E15</f>
        <v/>
      </c>
      <c r="F16" s="17">
        <f>F14+F15</f>
        <v/>
      </c>
      <c r="G16" s="17">
        <f>G14+G15</f>
        <v/>
      </c>
      <c r="H16" s="17">
        <f>H14+H15</f>
        <v/>
      </c>
      <c r="I16" s="17">
        <f>I14+I15</f>
        <v/>
      </c>
      <c r="J16" s="17">
        <f>J14+J15</f>
        <v/>
      </c>
      <c r="K16" s="17">
        <f>K14+K15</f>
        <v/>
      </c>
      <c r="L16" s="17">
        <f>L14+L15</f>
        <v/>
      </c>
      <c r="M16" s="17">
        <f>M14+M15</f>
        <v/>
      </c>
      <c r="N16" s="17">
        <f>N14+N15</f>
        <v/>
      </c>
      <c r="O16" s="17">
        <f>O14+O15</f>
        <v/>
      </c>
      <c r="P16" s="17">
        <f>P14+P15</f>
        <v/>
      </c>
      <c r="Q16" s="17">
        <f>Q14+Q15</f>
        <v/>
      </c>
      <c r="R16" s="17">
        <f>R14+R15</f>
        <v/>
      </c>
    </row>
    <row r="18">
      <c r="B18" s="6" t="inlineStr">
        <is>
          <t>Investiție</t>
        </is>
      </c>
      <c r="C18" s="19">
        <f>-CAPEX!C16</f>
        <v/>
      </c>
    </row>
    <row r="19">
      <c r="B19" s="6" t="inlineStr">
        <is>
          <t>Grant încasat</t>
        </is>
      </c>
      <c r="C19" s="30">
        <f>Finantare!C8</f>
        <v/>
      </c>
    </row>
    <row r="21">
      <c r="B21" s="4" t="inlineStr">
        <is>
          <t>FLUX DE NUMERAR NET</t>
        </is>
      </c>
      <c r="C21" s="18">
        <f>C18+C19</f>
        <v/>
      </c>
      <c r="D21" s="18">
        <f>D12+D15</f>
        <v/>
      </c>
      <c r="E21" s="18">
        <f>E12+E15</f>
        <v/>
      </c>
      <c r="F21" s="18">
        <f>F12+F15</f>
        <v/>
      </c>
      <c r="G21" s="18">
        <f>G12+G15</f>
        <v/>
      </c>
      <c r="H21" s="18">
        <f>H12+H15</f>
        <v/>
      </c>
      <c r="I21" s="18">
        <f>I12+I15</f>
        <v/>
      </c>
      <c r="J21" s="18">
        <f>J12+J15</f>
        <v/>
      </c>
      <c r="K21" s="18">
        <f>K12+K15</f>
        <v/>
      </c>
      <c r="L21" s="18">
        <f>L12+L15</f>
        <v/>
      </c>
      <c r="M21" s="18">
        <f>M12+M15</f>
        <v/>
      </c>
      <c r="N21" s="18">
        <f>N12+N15</f>
        <v/>
      </c>
      <c r="O21" s="18">
        <f>O12+O15</f>
        <v/>
      </c>
      <c r="P21" s="18">
        <f>P12+P15</f>
        <v/>
      </c>
      <c r="Q21" s="18">
        <f>Q12+Q15</f>
        <v/>
      </c>
      <c r="R21" s="18">
        <f>R12+R15</f>
        <v/>
      </c>
    </row>
    <row r="22">
      <c r="B22" s="6" t="inlineStr">
        <is>
          <t>Flux cumulat</t>
        </is>
      </c>
      <c r="C22" s="19">
        <f>C21</f>
        <v/>
      </c>
      <c r="D22" s="19">
        <f>C22+D21</f>
        <v/>
      </c>
      <c r="E22" s="19">
        <f>D22+E21</f>
        <v/>
      </c>
      <c r="F22" s="19">
        <f>E22+F21</f>
        <v/>
      </c>
      <c r="G22" s="19">
        <f>F22+G21</f>
        <v/>
      </c>
      <c r="H22" s="19">
        <f>G22+H21</f>
        <v/>
      </c>
      <c r="I22" s="19">
        <f>H22+I21</f>
        <v/>
      </c>
      <c r="J22" s="19">
        <f>I22+J21</f>
        <v/>
      </c>
      <c r="K22" s="19">
        <f>J22+K21</f>
        <v/>
      </c>
      <c r="L22" s="19">
        <f>K22+L21</f>
        <v/>
      </c>
      <c r="M22" s="19">
        <f>L22+M21</f>
        <v/>
      </c>
      <c r="N22" s="19">
        <f>M22+N21</f>
        <v/>
      </c>
      <c r="O22" s="19">
        <f>N22+O21</f>
        <v/>
      </c>
      <c r="P22" s="19">
        <f>O22+P21</f>
        <v/>
      </c>
      <c r="Q22" s="19">
        <f>P22+Q21</f>
        <v/>
      </c>
      <c r="R22" s="19">
        <f>Q22+R21</f>
        <v/>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B2:D33"/>
  <sheetViews>
    <sheetView showGridLines="0" zoomScaleNormal="100" workbookViewId="0">
      <selection activeCell="A1" sqref="A1"/>
    </sheetView>
  </sheetViews>
  <sheetFormatPr baseColWidth="8" defaultColWidth="8.6640625" defaultRowHeight="14.4"/>
  <cols>
    <col width="3" customWidth="1" min="1" max="1"/>
    <col width="46" customWidth="1" min="2" max="2"/>
    <col width="18" customWidth="1" min="3" max="3"/>
    <col width="58" customWidth="1" min="4" max="4"/>
  </cols>
  <sheetData>
    <row r="2" ht="16.8" customHeight="1">
      <c r="B2" s="1" t="inlineStr">
        <is>
          <t>INDICATORI DE PERFORMANȚĂ</t>
        </is>
      </c>
    </row>
    <row r="3">
      <c r="B3" s="31" t="inlineStr">
        <is>
          <t>Rezultatele sunt valide doar în măsura în care ipotezele sunt reale. Cu valorile de test actuale, ele indică ordine de mărime, nu prognoze.</t>
        </is>
      </c>
    </row>
    <row r="5">
      <c r="B5" s="4" t="inlineStr">
        <is>
          <t>Investiție totală</t>
        </is>
      </c>
      <c r="C5" s="32">
        <f>CAPEX!C16</f>
        <v/>
      </c>
      <c r="D5" s="11" t="inlineStr">
        <is>
          <t>Din foaia CAPEX</t>
        </is>
      </c>
    </row>
    <row r="6">
      <c r="B6" s="4" t="inlineStr">
        <is>
          <t>Cost unitar al investiției</t>
        </is>
      </c>
      <c r="C6" s="32">
        <f>CAPEX!C16/Ipoteze!C12</f>
        <v/>
      </c>
      <c r="D6" s="11" t="inlineStr">
        <is>
          <t>EUR/MWh instalat</t>
        </is>
      </c>
    </row>
    <row r="7">
      <c r="B7" s="4" t="inlineStr">
        <is>
          <t>Grant obținut</t>
        </is>
      </c>
      <c r="C7" s="32">
        <f>Finantare!C8</f>
        <v/>
      </c>
      <c r="D7" s="11" t="inlineStr">
        <is>
          <t>După aplicarea celor trei plafoane</t>
        </is>
      </c>
    </row>
    <row r="8">
      <c r="B8" s="4" t="inlineStr">
        <is>
          <t>Contribuție proprie necesară</t>
        </is>
      </c>
      <c r="C8" s="32">
        <f>Finantare!C10</f>
        <v/>
      </c>
      <c r="D8" s="11" t="inlineStr">
        <is>
          <t>Suma care trebuie asigurată din surse proprii sau atrase</t>
        </is>
      </c>
    </row>
    <row r="9">
      <c r="B9" s="4" t="inlineStr">
        <is>
          <t>Ponderea grantului</t>
        </is>
      </c>
      <c r="C9" s="33">
        <f>IFERROR(Finantare!C8/CAPEX!C16,0)</f>
        <v/>
      </c>
      <c r="D9" s="11" t="inlineStr">
        <is>
          <t>Cât din investiție acoperă ajutorul</t>
        </is>
      </c>
    </row>
    <row r="11">
      <c r="B11" s="4" t="inlineStr">
        <is>
          <t>EBITDA an 1</t>
        </is>
      </c>
      <c r="C11" s="32">
        <f>CashFlow!D12</f>
        <v/>
      </c>
      <c r="D11" s="11" t="inlineStr">
        <is>
          <t>Primul an de exploatare</t>
        </is>
      </c>
    </row>
    <row r="12">
      <c r="B12" s="4" t="inlineStr">
        <is>
          <t>VAN al proiectului</t>
        </is>
      </c>
      <c r="C12" s="32">
        <f>NPV(Ipoteze!C59,CashFlow!D21:R21)+CashFlow!C21</f>
        <v/>
      </c>
      <c r="D12" s="11" t="inlineStr">
        <is>
          <t>Valoare actualizată netă, incluzând grantul</t>
        </is>
      </c>
    </row>
    <row r="13">
      <c r="B13" s="4" t="inlineStr">
        <is>
          <t>RIR al proiectului</t>
        </is>
      </c>
      <c r="C13" s="33">
        <f>IFERROR(IRR(CashFlow!C21:R21),0)</f>
        <v/>
      </c>
      <c r="D13" s="11" t="inlineStr">
        <is>
          <t>Rata internă de rentabilitate</t>
        </is>
      </c>
    </row>
    <row r="14">
      <c r="B14" s="4" t="inlineStr">
        <is>
          <t>Termen de recuperare simplu</t>
        </is>
      </c>
      <c r="C14" s="34">
        <f>IFERROR(MATCH(0,CashFlow!C22:R22,1),0)</f>
        <v/>
      </c>
      <c r="D14" s="11" t="inlineStr">
        <is>
          <t>Anul în care fluxul cumulat devine pozitiv</t>
        </is>
      </c>
    </row>
    <row r="17">
      <c r="B17" s="4" t="inlineStr">
        <is>
          <t>SENZITIVITATE: OFERTA ÎN EUR/MWh</t>
        </is>
      </c>
    </row>
    <row r="18">
      <c r="B18" s="11" t="inlineStr">
        <is>
          <t>Modificați oferta în Ipoteze și urmăriți efectul asupra contribuției proprii și a RIR.</t>
        </is>
      </c>
    </row>
    <row r="20">
      <c r="B20" s="15" t="inlineStr">
        <is>
          <t>Ofertă (EUR/MWh)</t>
        </is>
      </c>
      <c r="C20" s="15" t="inlineStr">
        <is>
          <t>Ajutor (EUR)</t>
        </is>
      </c>
      <c r="D20" s="15" t="inlineStr">
        <is>
          <t>Contribuție proprie (EUR)</t>
        </is>
      </c>
    </row>
    <row r="21">
      <c r="B21" s="35" t="n">
        <v>40000</v>
      </c>
      <c r="C21" s="19">
        <f>MIN(B21*Ipoteze!C12,Ipoteze!C48,CAPEX!C17)</f>
        <v/>
      </c>
      <c r="D21" s="19">
        <f>CAPEX!C16-C21</f>
        <v/>
      </c>
    </row>
    <row r="22">
      <c r="B22" s="35" t="n">
        <v>45000</v>
      </c>
      <c r="C22" s="19">
        <f>MIN(B22*Ipoteze!C12,Ipoteze!C48,CAPEX!C17)</f>
        <v/>
      </c>
      <c r="D22" s="19">
        <f>CAPEX!C16-C22</f>
        <v/>
      </c>
    </row>
    <row r="23">
      <c r="B23" s="35" t="n">
        <v>50000</v>
      </c>
      <c r="C23" s="19">
        <f>MIN(B23*Ipoteze!C12,Ipoteze!C48,CAPEX!C17)</f>
        <v/>
      </c>
      <c r="D23" s="19">
        <f>CAPEX!C16-C23</f>
        <v/>
      </c>
    </row>
    <row r="24">
      <c r="B24" s="35" t="n">
        <v>55000</v>
      </c>
      <c r="C24" s="19">
        <f>MIN(B24*Ipoteze!C12,Ipoteze!C48,CAPEX!C17)</f>
        <v/>
      </c>
      <c r="D24" s="19">
        <f>CAPEX!C16-C24</f>
        <v/>
      </c>
    </row>
    <row r="25">
      <c r="B25" s="35" t="n">
        <v>60000</v>
      </c>
      <c r="C25" s="19">
        <f>MIN(B25*Ipoteze!C12,Ipoteze!C48,CAPEX!C17)</f>
        <v/>
      </c>
      <c r="D25" s="19">
        <f>CAPEX!C16-C25</f>
        <v/>
      </c>
    </row>
    <row r="26">
      <c r="B26" s="35" t="n">
        <v>65000</v>
      </c>
      <c r="C26" s="19">
        <f>MIN(B26*Ipoteze!C12,Ipoteze!C48,CAPEX!C17)</f>
        <v/>
      </c>
      <c r="D26" s="19">
        <f>CAPEX!C16-C26</f>
        <v/>
      </c>
    </row>
    <row r="27">
      <c r="B27" s="35" t="n">
        <v>69000</v>
      </c>
      <c r="C27" s="19">
        <f>MIN(B27*Ipoteze!C12,Ipoteze!C48,CAPEX!C17)</f>
        <v/>
      </c>
      <c r="D27" s="19">
        <f>CAPEX!C16-C27</f>
        <v/>
      </c>
    </row>
    <row r="30">
      <c r="B30" s="3" t="inlineStr">
        <is>
          <t>AVERTISMENT</t>
        </is>
      </c>
    </row>
    <row r="31">
      <c r="B31" s="11" t="inlineStr">
        <is>
          <t>Acest model NU contine oferte reale. Costurile sunt repere internationale de piata, iar spread-ul si serviciile de sistem sunt valori de test.</t>
        </is>
      </c>
    </row>
    <row r="32">
      <c r="B32" s="11" t="inlineStr">
        <is>
          <t>Nicio decizie de investitie sau de ofertare nu trebuie luata pe baza acestor cifre.</t>
        </is>
      </c>
    </row>
    <row r="33">
      <c r="B33" s="11" t="inlineStr">
        <is>
          <t>Modelul devine utilizabil dupa completarea celulelor galbene cu date din oferte, din studiul de solutie si din analiza de piata.</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2:F38"/>
  <sheetViews>
    <sheetView showGridLines="0" zoomScaleNormal="100" workbookViewId="0">
      <selection activeCell="A1" sqref="A1"/>
    </sheetView>
  </sheetViews>
  <sheetFormatPr baseColWidth="8" defaultColWidth="8.6640625" defaultRowHeight="14.4"/>
  <cols>
    <col width="3" customWidth="1" min="1" max="1"/>
    <col width="42" customWidth="1" min="2" max="2"/>
    <col width="18" customWidth="1" min="3" max="4"/>
    <col width="16" customWidth="1" min="5" max="5"/>
    <col width="44" customWidth="1" min="6" max="6"/>
  </cols>
  <sheetData>
    <row r="2" ht="16.8" customHeight="1">
      <c r="B2" s="1" t="inlineStr">
        <is>
          <t>COMPARAȚIA SCENARIILOR TEHNICO-ECONOMICE</t>
        </is>
      </c>
    </row>
    <row r="3">
      <c r="B3" s="11" t="inlineStr">
        <is>
          <t>Aceeași capacitate instalată, durate diferite de stocare. Cerință a studiului de fezabilitate conform H.G. 907/2016.</t>
        </is>
      </c>
    </row>
    <row r="5">
      <c r="B5" s="15" t="inlineStr">
        <is>
          <t>Element</t>
        </is>
      </c>
      <c r="C5" s="15" t="inlineStr">
        <is>
          <t>Scenariul 1 (4h)</t>
        </is>
      </c>
      <c r="D5" s="15" t="inlineStr">
        <is>
          <t>Scenariul 2 (2h)</t>
        </is>
      </c>
      <c r="E5" s="15" t="inlineStr">
        <is>
          <t>Diferență</t>
        </is>
      </c>
      <c r="F5" s="15" t="inlineStr">
        <is>
          <t>Observație</t>
        </is>
      </c>
    </row>
    <row r="6">
      <c r="B6" s="6" t="inlineStr">
        <is>
          <t>Capacitate instalată (MWh)</t>
        </is>
      </c>
      <c r="C6" s="12">
        <f>Ipoteze!C12</f>
        <v/>
      </c>
      <c r="D6" s="12">
        <f>Ipoteze!C12</f>
        <v/>
      </c>
      <c r="E6" s="28">
        <f>D6-C6</f>
        <v/>
      </c>
      <c r="F6" s="11" t="inlineStr">
        <is>
          <t>Identică prin construcție</t>
        </is>
      </c>
    </row>
    <row r="7">
      <c r="B7" s="6" t="inlineStr">
        <is>
          <t>Durata de stocare (ore)</t>
        </is>
      </c>
      <c r="C7" s="12" t="n">
        <v>4</v>
      </c>
      <c r="D7" s="12" t="n">
        <v>2</v>
      </c>
      <c r="E7" s="28">
        <f>D7-C7</f>
        <v/>
      </c>
      <c r="F7" s="11" t="inlineStr">
        <is>
          <t>Scenariul 2 este la minimul admis de ghid</t>
        </is>
      </c>
    </row>
    <row r="8">
      <c r="B8" s="6" t="inlineStr">
        <is>
          <t>Putere instalată (MW)</t>
        </is>
      </c>
      <c r="C8" s="12">
        <f>C6/C7</f>
        <v/>
      </c>
      <c r="D8" s="12">
        <f>D6/D7</f>
        <v/>
      </c>
      <c r="E8" s="28">
        <f>D8-C8</f>
        <v/>
      </c>
      <c r="F8" s="11" t="inlineStr">
        <is>
          <t>Rezultă din capacitate și durată</t>
        </is>
      </c>
    </row>
    <row r="10">
      <c r="B10" s="6" t="inlineStr">
        <is>
          <t>Cost componentă energetică</t>
        </is>
      </c>
      <c r="C10" s="23">
        <f>C6*Ipoteze!C27</f>
        <v/>
      </c>
      <c r="D10" s="23">
        <f>D6*Ipoteze!C27</f>
        <v/>
      </c>
      <c r="E10" s="17">
        <f>D10-C10</f>
        <v/>
      </c>
      <c r="F10" s="11" t="inlineStr">
        <is>
          <t>Identic — depinde doar de MWh</t>
        </is>
      </c>
    </row>
    <row r="11">
      <c r="B11" s="6" t="inlineStr">
        <is>
          <t>Cost componentă de putere</t>
        </is>
      </c>
      <c r="C11" s="23">
        <f>C8*Ipoteze!C26</f>
        <v/>
      </c>
      <c r="D11" s="23">
        <f>D8*Ipoteze!C26</f>
        <v/>
      </c>
      <c r="E11" s="17">
        <f>D11-C11</f>
        <v/>
      </c>
      <c r="F11" s="11" t="inlineStr">
        <is>
          <t>Scenariul 2 are putere dublă</t>
        </is>
      </c>
    </row>
    <row r="12">
      <c r="B12" s="6" t="inlineStr">
        <is>
          <t>Stație de conexiune</t>
        </is>
      </c>
      <c r="C12" s="23">
        <f>C8*Ipoteze!C33</f>
        <v/>
      </c>
      <c r="D12" s="23">
        <f>D8*Ipoteze!C33</f>
        <v/>
      </c>
      <c r="E12" s="17">
        <f>D12-C12</f>
        <v/>
      </c>
      <c r="F12" s="11" t="inlineStr">
        <is>
          <t>Scalează cu puterea racordată</t>
        </is>
      </c>
    </row>
    <row r="13">
      <c r="B13" s="6" t="inlineStr">
        <is>
          <t>Linie de racord</t>
        </is>
      </c>
      <c r="C13" s="23">
        <f>Ipoteze!C32</f>
        <v/>
      </c>
      <c r="D13" s="23">
        <f>Ipoteze!C32</f>
        <v/>
      </c>
      <c r="E13" s="17">
        <f>D13-C13</f>
        <v/>
      </c>
      <c r="F13" s="11" t="inlineStr">
        <is>
          <t>Identică — același traseu</t>
        </is>
      </c>
    </row>
    <row r="14">
      <c r="B14" s="6" t="inlineStr">
        <is>
          <t>Construcții civile</t>
        </is>
      </c>
      <c r="C14" s="23">
        <f>(C10+C11)*Ipoteze!C37</f>
        <v/>
      </c>
      <c r="D14" s="23">
        <f>(D10+D11)*Ipoteze!C37</f>
        <v/>
      </c>
      <c r="E14" s="17">
        <f>D14-C14</f>
        <v/>
      </c>
      <c r="F14" s="11" t="inlineStr">
        <is>
          <t>Procent din echipamente</t>
        </is>
      </c>
    </row>
    <row r="15">
      <c r="B15" s="6" t="inlineStr">
        <is>
          <t>Sisteme de siguranță</t>
        </is>
      </c>
      <c r="C15" s="23">
        <f>(C10+C11)*Ipoteze!C39</f>
        <v/>
      </c>
      <c r="D15" s="23">
        <f>(D10+D11)*Ipoteze!C39</f>
        <v/>
      </c>
      <c r="E15" s="17">
        <f>D15-C15</f>
        <v/>
      </c>
      <c r="F15" s="11" t="inlineStr">
        <is>
          <t>Procent din echipamente</t>
        </is>
      </c>
    </row>
    <row r="16">
      <c r="B16" s="6" t="inlineStr">
        <is>
          <t>Proiectare și avize</t>
        </is>
      </c>
      <c r="C16" s="23">
        <f>(C10+C11)*Ipoteze!C41</f>
        <v/>
      </c>
      <c r="D16" s="23">
        <f>(D10+D11)*Ipoteze!C41</f>
        <v/>
      </c>
      <c r="E16" s="17">
        <f>D16-C16</f>
        <v/>
      </c>
      <c r="F16" s="11" t="inlineStr">
        <is>
          <t>Probabil neeligibil</t>
        </is>
      </c>
    </row>
    <row r="17">
      <c r="B17" s="6" t="inlineStr">
        <is>
          <t>Neprevăzute</t>
        </is>
      </c>
      <c r="C17" s="23">
        <f>SUM(C10:C16)*Ipoteze!C43</f>
        <v/>
      </c>
      <c r="D17" s="23">
        <f>SUM(D10:D16)*Ipoteze!C43</f>
        <v/>
      </c>
      <c r="E17" s="17">
        <f>D17-C17</f>
        <v/>
      </c>
      <c r="F17" s="11" t="inlineStr">
        <is>
          <t>Marjă pe deviz</t>
        </is>
      </c>
    </row>
    <row r="18">
      <c r="B18" s="4" t="inlineStr">
        <is>
          <t>TOTAL INVESTIȚIE</t>
        </is>
      </c>
      <c r="C18" s="20">
        <f>SUM(C10:C17)</f>
        <v/>
      </c>
      <c r="D18" s="20">
        <f>SUM(D10:D17)</f>
        <v/>
      </c>
      <c r="E18" s="17">
        <f>D18-C18</f>
        <v/>
      </c>
      <c r="F18" s="11" t="inlineStr">
        <is>
          <t>Suma tuturor categoriilor</t>
        </is>
      </c>
    </row>
    <row r="19">
      <c r="B19" s="4" t="inlineStr">
        <is>
          <t>Cost unitar (EUR/MWh instalat)</t>
        </is>
      </c>
      <c r="C19" s="22">
        <f>C18/C6</f>
        <v/>
      </c>
      <c r="D19" s="22">
        <f>D18/D6</f>
        <v/>
      </c>
      <c r="E19" s="17">
        <f>D19-C19</f>
        <v/>
      </c>
      <c r="F19" s="11" t="inlineStr">
        <is>
          <t>Baza pentru stabilirea ofertei</t>
        </is>
      </c>
    </row>
    <row r="21">
      <c r="B21" s="4" t="inlineStr">
        <is>
          <t>Ajutor la oferta din Ipoteze</t>
        </is>
      </c>
      <c r="C21" s="22">
        <f>MIN(Ipoteze!C46*C6,Ipoteze!C48,Ipoteze!C47*C6)</f>
        <v/>
      </c>
      <c r="D21" s="22">
        <f>MIN(Ipoteze!C46*D6,Ipoteze!C48,Ipoteze!C47*D6)</f>
        <v/>
      </c>
      <c r="E21" s="17">
        <f>D21-C21</f>
        <v/>
      </c>
      <c r="F21" s="11" t="inlineStr">
        <is>
          <t>Identic — ajutorul se calculează pe MWh, nu pe MW</t>
        </is>
      </c>
    </row>
    <row r="22">
      <c r="B22" s="4" t="inlineStr">
        <is>
          <t>Contribuție proprie</t>
        </is>
      </c>
      <c r="C22" s="20">
        <f>C18-C21</f>
        <v/>
      </c>
      <c r="D22" s="20">
        <f>D18-D21</f>
        <v/>
      </c>
      <c r="E22" s="17">
        <f>D22-C22</f>
        <v/>
      </c>
      <c r="F22" s="11" t="inlineStr">
        <is>
          <t>Diferența rămasă de acoperit</t>
        </is>
      </c>
    </row>
    <row r="23">
      <c r="B23" s="6" t="inlineStr">
        <is>
          <t>Ponderea ajutorului</t>
        </is>
      </c>
      <c r="C23" s="25">
        <f>IFERROR(C21/C18,0)</f>
        <v/>
      </c>
      <c r="D23" s="25">
        <f>IFERROR(D21/D18,0)</f>
        <v/>
      </c>
      <c r="F23" s="11" t="inlineStr">
        <is>
          <t>Cât acoperă grantul din investiție</t>
        </is>
      </c>
    </row>
    <row r="25">
      <c r="B25" s="6" t="inlineStr">
        <is>
          <t>Plafonul de 69.000 acoperă din cost unitar</t>
        </is>
      </c>
      <c r="C25" s="25">
        <f>IFERROR(Ipoteze!C47/C19,0)</f>
        <v/>
      </c>
      <c r="D25" s="25">
        <f>IFERROR(Ipoteze!C47/D19,0)</f>
        <v/>
      </c>
      <c r="F25" s="11" t="inlineStr">
        <is>
          <t>Cât din costul unitar poate acoperi cel mult plafonul reglementat</t>
        </is>
      </c>
    </row>
    <row r="27">
      <c r="B27" s="6" t="inlineStr">
        <is>
          <t>Energie descărcată an 1 (MWh)</t>
        </is>
      </c>
      <c r="C27" s="12">
        <f>C6*Ipoteze!C18*Ipoteze!C17</f>
        <v/>
      </c>
      <c r="D27" s="12">
        <f>D6*Ipoteze!C18*Ipoteze!C17</f>
        <v/>
      </c>
      <c r="E27" s="28">
        <f>D27-C27</f>
        <v/>
      </c>
      <c r="F27" s="11" t="inlineStr">
        <is>
          <t>La același număr de cicluri</t>
        </is>
      </c>
    </row>
    <row r="28">
      <c r="B28" s="6" t="inlineStr">
        <is>
          <t>Venit brut din arbitraj an 1</t>
        </is>
      </c>
      <c r="C28" s="23">
        <f>C27*Ipoteze!C51</f>
        <v/>
      </c>
      <c r="D28" s="23">
        <f>D27*Ipoteze!C51</f>
        <v/>
      </c>
      <c r="E28" s="17">
        <f>D28-C28</f>
        <v/>
      </c>
      <c r="F28" s="11" t="inlineStr">
        <is>
          <t>ATENȚIE: spreadul valorificabil diferă între 4h și 2h. [DE COMPLETAT] din analiza de piață</t>
        </is>
      </c>
    </row>
    <row r="29">
      <c r="B29" s="6" t="inlineStr">
        <is>
          <t>Costuri O&amp;M an 1</t>
        </is>
      </c>
      <c r="C29" s="23">
        <f>-C18*Ipoteze!C54</f>
        <v/>
      </c>
      <c r="D29" s="23">
        <f>-D18*Ipoteze!C54</f>
        <v/>
      </c>
      <c r="E29" s="17">
        <f>D29-C29</f>
        <v/>
      </c>
      <c r="F29" s="11" t="inlineStr">
        <is>
          <t>Procent din investiție</t>
        </is>
      </c>
    </row>
    <row r="30">
      <c r="B30" s="4" t="inlineStr">
        <is>
          <t>EBITDA an 1</t>
        </is>
      </c>
      <c r="C30" s="22">
        <f>C28+C29</f>
        <v/>
      </c>
      <c r="D30" s="22">
        <f>D28+D29</f>
        <v/>
      </c>
      <c r="E30" s="17">
        <f>D30-C30</f>
        <v/>
      </c>
      <c r="F30" s="11" t="inlineStr">
        <is>
          <t>Fără serviciile de sistem</t>
        </is>
      </c>
    </row>
    <row r="31">
      <c r="B31" s="6" t="inlineStr">
        <is>
          <t>Termen simplu de recuperare (ani)</t>
        </is>
      </c>
      <c r="C31" s="12">
        <f>IFERROR(C22/C30,0)</f>
        <v/>
      </c>
      <c r="D31" s="12">
        <f>IFERROR(D22/D30,0)</f>
        <v/>
      </c>
      <c r="F31" s="11" t="inlineStr">
        <is>
          <t>Contribuție proprie împărțită la EBITDA</t>
        </is>
      </c>
    </row>
    <row r="34">
      <c r="B34" s="4" t="inlineStr">
        <is>
          <t>CONCLUZIA COMPARAȚIEI</t>
        </is>
      </c>
    </row>
    <row r="35">
      <c r="B35" s="11" t="inlineStr">
        <is>
          <t>Ajutorul de stat este identic in cele doua scenarii, pentru ca se calculeaza pe MWh instalati. Diferenta se manifesta integral pe partea de costuri.</t>
        </is>
      </c>
    </row>
    <row r="36">
      <c r="B36" s="11" t="inlineStr">
        <is>
          <t>Scenariul 2 are aceeasi capacitate, deci acelasi grant maxim, dar putere dubla — deci costuri mai mari de conversie si de racordare.</t>
        </is>
      </c>
    </row>
    <row r="37">
      <c r="B37" s="11" t="inlineStr">
        <is>
          <t>Rezulta un cost unitar mai mare pe MWh, deci o pozitie mai slaba intr-o licitatie departajata exclusiv pe euro/MWh.</t>
        </is>
      </c>
    </row>
    <row r="38">
      <c r="B38" s="11" t="inlineStr">
        <is>
          <t>ATENTIE la randul de venituri: modelul aplica acelasi spread ambelor scenarii, ceea ce favorizeaza artificial scenariul 2. In realitate un sistem de 2 ore valorifica un spread diferit. Se corecteaza dupa analiza de piata.</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2:R72"/>
  <sheetViews>
    <sheetView showGridLines="0" workbookViewId="0">
      <selection activeCell="A1" sqref="A1"/>
    </sheetView>
  </sheetViews>
  <sheetFormatPr baseColWidth="8" defaultRowHeight="15"/>
  <cols>
    <col width="3" customWidth="1" min="1" max="1"/>
    <col width="44" customWidth="1" min="2" max="2"/>
    <col width="16" customWidth="1" min="3" max="3"/>
    <col width="12" customWidth="1" min="4" max="4"/>
    <col width="6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2">
      <c r="B2" s="36" t="inlineStr">
        <is>
          <t>SCENARIU ALTERNATIV: REPER DE COST DIN CHINA</t>
        </is>
      </c>
    </row>
    <row r="3">
      <c r="B3" s="37" t="inlineStr">
        <is>
          <t>Recalculează bugetul, finanțarea și fluxul de numerar cu un reper de cost turnkey din China, păstrând toate celelalte ipoteze din foaia Ipoteze neschimbate (capacitate, putere, spread, cicluri, rata de actualizare etc.).</t>
        </is>
      </c>
    </row>
    <row r="4">
      <c r="B4" s="38" t="inlineStr">
        <is>
          <t>CIORNĂ DE LUCRU. Celula galbenă de mai jos se completează de utilizator. Restul se calculează automat.</t>
        </is>
      </c>
    </row>
    <row r="6">
      <c r="B6" s="39" t="inlineStr">
        <is>
          <t>1. IPOTEZĂ DE COST ALTERNATIVĂ</t>
        </is>
      </c>
      <c r="C6" s="39" t="n"/>
      <c r="D6" s="39" t="n"/>
      <c r="E6" s="39" t="n"/>
    </row>
    <row r="7">
      <c r="B7" s="37" t="inlineStr">
        <is>
          <t>Cost turnkey referință China</t>
        </is>
      </c>
      <c r="C7" s="40" t="n">
        <v>73000</v>
      </c>
      <c r="D7" s="37" t="inlineStr">
        <is>
          <t>USD/MWh</t>
        </is>
      </c>
      <c r="E7" s="38" t="inlineStr">
        <is>
          <t>Reper BNEF/Ember 2025-2026 pentru sisteme turnkey China. NU este ofertă. Comparație: Ipoteze!C22 = reper Europa (177.000 USD/MWh).</t>
        </is>
      </c>
    </row>
    <row r="8">
      <c r="B8" s="37" t="inlineStr">
        <is>
          <t>Cost turnkey referință China</t>
        </is>
      </c>
      <c r="C8" s="41">
        <f>C7*Ipoteze!C21</f>
        <v/>
      </c>
      <c r="D8" s="37" t="inlineStr">
        <is>
          <t>EUR/MWh</t>
        </is>
      </c>
      <c r="E8" s="38" t="inlineStr">
        <is>
          <t>Convertit la cursul din Ipoteze!C21</t>
        </is>
      </c>
    </row>
    <row r="10">
      <c r="B10" s="39" t="inlineStr">
        <is>
          <t>2. BUGET DE INVESTIȚIE RECALCULAT</t>
        </is>
      </c>
      <c r="C10" s="39" t="n"/>
      <c r="D10" s="39" t="n"/>
      <c r="E10" s="39" t="n"/>
    </row>
    <row r="11">
      <c r="B11" s="37" t="inlineStr">
        <is>
          <t>Cost unitar de putere</t>
        </is>
      </c>
      <c r="C11" s="41">
        <f>C8*Ipoteze!C12*Ipoteze!C25/(Ipoteze!C12/Ipoteze!C13)</f>
        <v/>
      </c>
      <c r="D11" s="37" t="inlineStr">
        <is>
          <t>EUR/MW</t>
        </is>
      </c>
    </row>
    <row r="12">
      <c r="B12" s="37" t="inlineStr">
        <is>
          <t>Cost unitar energetic</t>
        </is>
      </c>
      <c r="C12" s="41">
        <f>C8*(1-Ipoteze!C25)</f>
        <v/>
      </c>
      <c r="D12" s="37" t="inlineStr">
        <is>
          <t>EUR/MWh</t>
        </is>
      </c>
    </row>
    <row r="13">
      <c r="B13" s="37" t="inlineStr">
        <is>
          <t>Cost echipamente BESS</t>
        </is>
      </c>
      <c r="C13" s="41">
        <f>C12*Ipoteze!C12+C11*Ipoteze!C14</f>
        <v/>
      </c>
      <c r="D13" s="37" t="inlineStr">
        <is>
          <t>EUR</t>
        </is>
      </c>
    </row>
    <row r="14">
      <c r="B14" s="37" t="inlineStr">
        <is>
          <t>Linie de racord 110 kV</t>
        </is>
      </c>
      <c r="C14" s="42">
        <f>Ipoteze!C32</f>
        <v/>
      </c>
      <c r="D14" s="37" t="inlineStr">
        <is>
          <t>EUR</t>
        </is>
      </c>
      <c r="E14" s="38" t="inlineStr">
        <is>
          <t>Neschimbat față de scenariul de referință</t>
        </is>
      </c>
    </row>
    <row r="15">
      <c r="B15" s="37" t="inlineStr">
        <is>
          <t>Stație de conexiune</t>
        </is>
      </c>
      <c r="C15" s="42">
        <f>Ipoteze!C34</f>
        <v/>
      </c>
      <c r="D15" s="37" t="inlineStr">
        <is>
          <t>EUR</t>
        </is>
      </c>
    </row>
    <row r="16">
      <c r="B16" s="37" t="inlineStr">
        <is>
          <t>Tarif de racordare</t>
        </is>
      </c>
      <c r="C16" s="42">
        <f>Ipoteze!C35</f>
        <v/>
      </c>
      <c r="D16" s="37" t="inlineStr">
        <is>
          <t>EUR</t>
        </is>
      </c>
    </row>
    <row r="17">
      <c r="B17" s="37" t="inlineStr">
        <is>
          <t>Construcții civile</t>
        </is>
      </c>
      <c r="C17" s="41">
        <f>Ipoteze!C37*C13</f>
        <v/>
      </c>
      <c r="D17" s="37" t="inlineStr">
        <is>
          <t>EUR</t>
        </is>
      </c>
    </row>
    <row r="18">
      <c r="B18" s="37" t="inlineStr">
        <is>
          <t>Sisteme de siguranță și incendiu</t>
        </is>
      </c>
      <c r="C18" s="41">
        <f>Ipoteze!C39*C13</f>
        <v/>
      </c>
      <c r="D18" s="37" t="inlineStr">
        <is>
          <t>EUR</t>
        </is>
      </c>
    </row>
    <row r="19">
      <c r="B19" s="37" t="inlineStr">
        <is>
          <t>Proiectare, avize, consultanță</t>
        </is>
      </c>
      <c r="C19" s="41">
        <f>Ipoteze!C41*C13</f>
        <v/>
      </c>
      <c r="D19" s="37" t="inlineStr">
        <is>
          <t>EUR</t>
        </is>
      </c>
    </row>
    <row r="20">
      <c r="B20" s="43" t="inlineStr">
        <is>
          <t>Subtotal</t>
        </is>
      </c>
      <c r="C20" s="44">
        <f>SUM(C13:C19)</f>
        <v/>
      </c>
    </row>
    <row r="21">
      <c r="B21" s="37" t="inlineStr">
        <is>
          <t>Neprevăzute</t>
        </is>
      </c>
      <c r="C21" s="41">
        <f>C20*Ipoteze!C43</f>
        <v/>
      </c>
    </row>
    <row r="22">
      <c r="B22" s="43" t="inlineStr">
        <is>
          <t>TOTAL INVESTIȚIE</t>
        </is>
      </c>
      <c r="C22" s="44">
        <f>C20+C21</f>
        <v/>
      </c>
    </row>
    <row r="23">
      <c r="B23" s="37" t="inlineStr">
        <is>
          <t>Cost unitar al investiției</t>
        </is>
      </c>
      <c r="C23" s="41">
        <f>IFERROR(C22/Ipoteze!C12,0)</f>
        <v/>
      </c>
      <c r="D23" s="37" t="inlineStr">
        <is>
          <t>EUR/MWh instalat</t>
        </is>
      </c>
    </row>
    <row r="24">
      <c r="B24" s="37" t="inlineStr">
        <is>
          <t>Total cheltuieli eligibile (estimat)</t>
        </is>
      </c>
      <c r="C24" s="41">
        <f>C13+C15+C17+C18</f>
        <v/>
      </c>
      <c r="E24" s="38" t="inlineStr">
        <is>
          <t>Exclude proiectarea și, prudent, linia și tariful de racordare, ca în foaia CAPEX</t>
        </is>
      </c>
    </row>
    <row r="26">
      <c r="B26" s="39" t="inlineStr">
        <is>
          <t>3. FINANȚARE</t>
        </is>
      </c>
      <c r="C26" s="39" t="n"/>
      <c r="D26" s="39" t="n"/>
      <c r="E26" s="39" t="n"/>
    </row>
    <row r="27">
      <c r="B27" s="37" t="inlineStr">
        <is>
          <t>Ajutor cerut = ofertă x capacitate</t>
        </is>
      </c>
      <c r="C27" s="41">
        <f>Ipoteze!C46*Ipoteze!C12</f>
        <v/>
      </c>
    </row>
    <row r="28">
      <c r="B28" s="37" t="inlineStr">
        <is>
          <t>Test 1: plafon unitar (Ipoteze!C47)</t>
        </is>
      </c>
      <c r="C28" s="41">
        <f>Ipoteze!C47*Ipoteze!C12</f>
        <v/>
      </c>
    </row>
    <row r="29">
      <c r="B29" s="37" t="inlineStr">
        <is>
          <t>Test 2: plafon per întreprindere</t>
        </is>
      </c>
      <c r="C29" s="41">
        <f>Ipoteze!C48</f>
        <v/>
      </c>
    </row>
    <row r="30">
      <c r="B30" s="37" t="inlineStr">
        <is>
          <t>Test 3: 100% din cheltuielile eligibile</t>
        </is>
      </c>
      <c r="C30" s="41">
        <f>C24</f>
        <v/>
      </c>
    </row>
    <row r="31">
      <c r="B31" s="43" t="inlineStr">
        <is>
          <t>AJUTOR ACORDABIL</t>
        </is>
      </c>
      <c r="C31" s="44">
        <f>MIN(C27,C28,C29,C30)</f>
        <v/>
      </c>
    </row>
    <row r="32">
      <c r="B32" s="37" t="inlineStr">
        <is>
          <t>Contribuție proprie</t>
        </is>
      </c>
      <c r="C32" s="41">
        <f>C22-C31</f>
        <v/>
      </c>
    </row>
    <row r="34">
      <c r="B34" s="39" t="inlineStr">
        <is>
          <t>4. FLUX DE NUMERAR (ani 0-15)</t>
        </is>
      </c>
      <c r="C34" s="39" t="n"/>
      <c r="D34" s="39" t="n"/>
      <c r="E34" s="39" t="n"/>
    </row>
    <row r="35">
      <c r="C35" s="39" t="inlineStr">
        <is>
          <t>An 0</t>
        </is>
      </c>
      <c r="D35" s="39" t="inlineStr">
        <is>
          <t>An 1</t>
        </is>
      </c>
      <c r="E35" s="39" t="inlineStr">
        <is>
          <t>An 2</t>
        </is>
      </c>
      <c r="F35" s="39" t="inlineStr">
        <is>
          <t>An 3</t>
        </is>
      </c>
      <c r="G35" s="39" t="inlineStr">
        <is>
          <t>An 4</t>
        </is>
      </c>
      <c r="H35" s="39" t="inlineStr">
        <is>
          <t>An 5</t>
        </is>
      </c>
      <c r="I35" s="39" t="inlineStr">
        <is>
          <t>An 6</t>
        </is>
      </c>
      <c r="J35" s="39" t="inlineStr">
        <is>
          <t>An 7</t>
        </is>
      </c>
      <c r="K35" s="39" t="inlineStr">
        <is>
          <t>An 8</t>
        </is>
      </c>
      <c r="L35" s="39" t="inlineStr">
        <is>
          <t>An 9</t>
        </is>
      </c>
      <c r="M35" s="39" t="inlineStr">
        <is>
          <t>An 10</t>
        </is>
      </c>
      <c r="N35" s="39" t="inlineStr">
        <is>
          <t>An 11</t>
        </is>
      </c>
      <c r="O35" s="39" t="inlineStr">
        <is>
          <t>An 12</t>
        </is>
      </c>
      <c r="P35" s="39" t="inlineStr">
        <is>
          <t>An 13</t>
        </is>
      </c>
      <c r="Q35" s="39" t="inlineStr">
        <is>
          <t>An 14</t>
        </is>
      </c>
      <c r="R35" s="39" t="inlineStr">
        <is>
          <t>An 15</t>
        </is>
      </c>
    </row>
    <row r="36">
      <c r="B36" s="37" t="inlineStr">
        <is>
          <t>Energie descărcată (MWh/an)</t>
        </is>
      </c>
      <c r="C36" s="45" t="n">
        <v>0</v>
      </c>
      <c r="D36" s="45">
        <f>CashFlow!D7</f>
        <v/>
      </c>
      <c r="E36" s="45">
        <f>CashFlow!E7</f>
        <v/>
      </c>
      <c r="F36" s="45">
        <f>CashFlow!F7</f>
        <v/>
      </c>
      <c r="G36" s="45">
        <f>CashFlow!G7</f>
        <v/>
      </c>
      <c r="H36" s="45">
        <f>CashFlow!H7</f>
        <v/>
      </c>
      <c r="I36" s="45">
        <f>CashFlow!I7</f>
        <v/>
      </c>
      <c r="J36" s="45">
        <f>CashFlow!J7</f>
        <v/>
      </c>
      <c r="K36" s="45">
        <f>CashFlow!K7</f>
        <v/>
      </c>
      <c r="L36" s="45">
        <f>CashFlow!L7</f>
        <v/>
      </c>
      <c r="M36" s="45">
        <f>CashFlow!M7</f>
        <v/>
      </c>
      <c r="N36" s="45">
        <f>CashFlow!N7</f>
        <v/>
      </c>
      <c r="O36" s="45">
        <f>CashFlow!O7</f>
        <v/>
      </c>
      <c r="P36" s="45">
        <f>CashFlow!P7</f>
        <v/>
      </c>
      <c r="Q36" s="45">
        <f>CashFlow!Q7</f>
        <v/>
      </c>
      <c r="R36" s="45">
        <f>CashFlow!R7</f>
        <v/>
      </c>
    </row>
    <row r="37">
      <c r="B37" s="37" t="inlineStr">
        <is>
          <t>Venit din arbitraj</t>
        </is>
      </c>
      <c r="C37" s="42" t="n">
        <v>0</v>
      </c>
      <c r="D37" s="42">
        <f>CashFlow!D8</f>
        <v/>
      </c>
      <c r="E37" s="42">
        <f>CashFlow!E8</f>
        <v/>
      </c>
      <c r="F37" s="42">
        <f>CashFlow!F8</f>
        <v/>
      </c>
      <c r="G37" s="42">
        <f>CashFlow!G8</f>
        <v/>
      </c>
      <c r="H37" s="42">
        <f>CashFlow!H8</f>
        <v/>
      </c>
      <c r="I37" s="42">
        <f>CashFlow!I8</f>
        <v/>
      </c>
      <c r="J37" s="42">
        <f>CashFlow!J8</f>
        <v/>
      </c>
      <c r="K37" s="42">
        <f>CashFlow!K8</f>
        <v/>
      </c>
      <c r="L37" s="42">
        <f>CashFlow!L8</f>
        <v/>
      </c>
      <c r="M37" s="42">
        <f>CashFlow!M8</f>
        <v/>
      </c>
      <c r="N37" s="42">
        <f>CashFlow!N8</f>
        <v/>
      </c>
      <c r="O37" s="42">
        <f>CashFlow!O8</f>
        <v/>
      </c>
      <c r="P37" s="42">
        <f>CashFlow!P8</f>
        <v/>
      </c>
      <c r="Q37" s="42">
        <f>CashFlow!Q8</f>
        <v/>
      </c>
      <c r="R37" s="42">
        <f>CashFlow!R8</f>
        <v/>
      </c>
    </row>
    <row r="38">
      <c r="B38" s="37" t="inlineStr">
        <is>
          <t>Venit din servicii de sistem</t>
        </is>
      </c>
      <c r="C38" s="42" t="n">
        <v>0</v>
      </c>
      <c r="D38" s="42">
        <f>CashFlow!D9</f>
        <v/>
      </c>
      <c r="E38" s="42">
        <f>CashFlow!E9</f>
        <v/>
      </c>
      <c r="F38" s="42">
        <f>CashFlow!F9</f>
        <v/>
      </c>
      <c r="G38" s="42">
        <f>CashFlow!G9</f>
        <v/>
      </c>
      <c r="H38" s="42">
        <f>CashFlow!H9</f>
        <v/>
      </c>
      <c r="I38" s="42">
        <f>CashFlow!I9</f>
        <v/>
      </c>
      <c r="J38" s="42">
        <f>CashFlow!J9</f>
        <v/>
      </c>
      <c r="K38" s="42">
        <f>CashFlow!K9</f>
        <v/>
      </c>
      <c r="L38" s="42">
        <f>CashFlow!L9</f>
        <v/>
      </c>
      <c r="M38" s="42">
        <f>CashFlow!M9</f>
        <v/>
      </c>
      <c r="N38" s="42">
        <f>CashFlow!N9</f>
        <v/>
      </c>
      <c r="O38" s="42">
        <f>CashFlow!O9</f>
        <v/>
      </c>
      <c r="P38" s="42">
        <f>CashFlow!P9</f>
        <v/>
      </c>
      <c r="Q38" s="42">
        <f>CashFlow!Q9</f>
        <v/>
      </c>
      <c r="R38" s="42">
        <f>CashFlow!R9</f>
        <v/>
      </c>
    </row>
    <row r="39">
      <c r="B39" s="37" t="inlineStr">
        <is>
          <t>Costuri de rețea și consum tehnologic</t>
        </is>
      </c>
      <c r="C39" s="42" t="n">
        <v>0</v>
      </c>
      <c r="D39" s="42">
        <f>CashFlow!D10</f>
        <v/>
      </c>
      <c r="E39" s="42">
        <f>CashFlow!E10</f>
        <v/>
      </c>
      <c r="F39" s="42">
        <f>CashFlow!F10</f>
        <v/>
      </c>
      <c r="G39" s="42">
        <f>CashFlow!G10</f>
        <v/>
      </c>
      <c r="H39" s="42">
        <f>CashFlow!H10</f>
        <v/>
      </c>
      <c r="I39" s="42">
        <f>CashFlow!I10</f>
        <v/>
      </c>
      <c r="J39" s="42">
        <f>CashFlow!J10</f>
        <v/>
      </c>
      <c r="K39" s="42">
        <f>CashFlow!K10</f>
        <v/>
      </c>
      <c r="L39" s="42">
        <f>CashFlow!L10</f>
        <v/>
      </c>
      <c r="M39" s="42">
        <f>CashFlow!M10</f>
        <v/>
      </c>
      <c r="N39" s="42">
        <f>CashFlow!N10</f>
        <v/>
      </c>
      <c r="O39" s="42">
        <f>CashFlow!O10</f>
        <v/>
      </c>
      <c r="P39" s="42">
        <f>CashFlow!P10</f>
        <v/>
      </c>
      <c r="Q39" s="42">
        <f>CashFlow!Q10</f>
        <v/>
      </c>
      <c r="R39" s="42">
        <f>CashFlow!R10</f>
        <v/>
      </c>
    </row>
    <row r="40">
      <c r="B40" s="37" t="inlineStr">
        <is>
          <t>Costuri O&amp;M (recalculate cu noul TOTAL)</t>
        </is>
      </c>
      <c r="C40" s="41" t="n">
        <v>0</v>
      </c>
      <c r="D40" s="41">
        <f>-$C$22*Ipoteze!C54*(1+Ipoteze!C55)^1</f>
        <v/>
      </c>
      <c r="E40" s="41">
        <f>-$C$22*Ipoteze!C54*(1+Ipoteze!C55)^2</f>
        <v/>
      </c>
      <c r="F40" s="41">
        <f>-$C$22*Ipoteze!C54*(1+Ipoteze!C55)^3</f>
        <v/>
      </c>
      <c r="G40" s="41">
        <f>-$C$22*Ipoteze!C54*(1+Ipoteze!C55)^4</f>
        <v/>
      </c>
      <c r="H40" s="41">
        <f>-$C$22*Ipoteze!C54*(1+Ipoteze!C55)^5</f>
        <v/>
      </c>
      <c r="I40" s="41">
        <f>-$C$22*Ipoteze!C54*(1+Ipoteze!C55)^6</f>
        <v/>
      </c>
      <c r="J40" s="41">
        <f>-$C$22*Ipoteze!C54*(1+Ipoteze!C55)^7</f>
        <v/>
      </c>
      <c r="K40" s="41">
        <f>-$C$22*Ipoteze!C54*(1+Ipoteze!C55)^8</f>
        <v/>
      </c>
      <c r="L40" s="41">
        <f>-$C$22*Ipoteze!C54*(1+Ipoteze!C55)^9</f>
        <v/>
      </c>
      <c r="M40" s="41">
        <f>-$C$22*Ipoteze!C54*(1+Ipoteze!C55)^10</f>
        <v/>
      </c>
      <c r="N40" s="41">
        <f>-$C$22*Ipoteze!C54*(1+Ipoteze!C55)^11</f>
        <v/>
      </c>
      <c r="O40" s="41">
        <f>-$C$22*Ipoteze!C54*(1+Ipoteze!C55)^12</f>
        <v/>
      </c>
      <c r="P40" s="41">
        <f>-$C$22*Ipoteze!C54*(1+Ipoteze!C55)^13</f>
        <v/>
      </c>
      <c r="Q40" s="41">
        <f>-$C$22*Ipoteze!C54*(1+Ipoteze!C55)^14</f>
        <v/>
      </c>
      <c r="R40" s="41">
        <f>-$C$22*Ipoteze!C54*(1+Ipoteze!C55)^15</f>
        <v/>
      </c>
    </row>
    <row r="41">
      <c r="B41" s="43" t="inlineStr">
        <is>
          <t>EBITDA</t>
        </is>
      </c>
      <c r="C41" s="44" t="n">
        <v>0</v>
      </c>
      <c r="D41" s="44">
        <f>SUM(D37:D40)</f>
        <v/>
      </c>
      <c r="E41" s="44">
        <f>SUM(E37:E40)</f>
        <v/>
      </c>
      <c r="F41" s="44">
        <f>SUM(F37:F40)</f>
        <v/>
      </c>
      <c r="G41" s="44">
        <f>SUM(G37:G40)</f>
        <v/>
      </c>
      <c r="H41" s="44">
        <f>SUM(H37:H40)</f>
        <v/>
      </c>
      <c r="I41" s="44">
        <f>SUM(I37:I40)</f>
        <v/>
      </c>
      <c r="J41" s="44">
        <f>SUM(J37:J40)</f>
        <v/>
      </c>
      <c r="K41" s="44">
        <f>SUM(K37:K40)</f>
        <v/>
      </c>
      <c r="L41" s="44">
        <f>SUM(L37:L40)</f>
        <v/>
      </c>
      <c r="M41" s="44">
        <f>SUM(M37:M40)</f>
        <v/>
      </c>
      <c r="N41" s="44">
        <f>SUM(N37:N40)</f>
        <v/>
      </c>
      <c r="O41" s="44">
        <f>SUM(O37:O40)</f>
        <v/>
      </c>
      <c r="P41" s="44">
        <f>SUM(P37:P40)</f>
        <v/>
      </c>
      <c r="Q41" s="44">
        <f>SUM(Q37:Q40)</f>
        <v/>
      </c>
      <c r="R41" s="44">
        <f>SUM(R37:R40)</f>
        <v/>
      </c>
    </row>
    <row r="42">
      <c r="B42" s="37" t="inlineStr">
        <is>
          <t>Amortizare</t>
        </is>
      </c>
      <c r="C42" s="41" t="n">
        <v>0</v>
      </c>
      <c r="D42" s="41">
        <f>IF(1&lt;=Ipoteze!C61,-$C$22/Ipoteze!C61,0)</f>
        <v/>
      </c>
      <c r="E42" s="41">
        <f>IF(2&lt;=Ipoteze!C61,-$C$22/Ipoteze!C61,0)</f>
        <v/>
      </c>
      <c r="F42" s="41">
        <f>IF(3&lt;=Ipoteze!C61,-$C$22/Ipoteze!C61,0)</f>
        <v/>
      </c>
      <c r="G42" s="41">
        <f>IF(4&lt;=Ipoteze!C61,-$C$22/Ipoteze!C61,0)</f>
        <v/>
      </c>
      <c r="H42" s="41">
        <f>IF(5&lt;=Ipoteze!C61,-$C$22/Ipoteze!C61,0)</f>
        <v/>
      </c>
      <c r="I42" s="41">
        <f>IF(6&lt;=Ipoteze!C61,-$C$22/Ipoteze!C61,0)</f>
        <v/>
      </c>
      <c r="J42" s="41">
        <f>IF(7&lt;=Ipoteze!C61,-$C$22/Ipoteze!C61,0)</f>
        <v/>
      </c>
      <c r="K42" s="41">
        <f>IF(8&lt;=Ipoteze!C61,-$C$22/Ipoteze!C61,0)</f>
        <v/>
      </c>
      <c r="L42" s="41">
        <f>IF(9&lt;=Ipoteze!C61,-$C$22/Ipoteze!C61,0)</f>
        <v/>
      </c>
      <c r="M42" s="41">
        <f>IF(10&lt;=Ipoteze!C61,-$C$22/Ipoteze!C61,0)</f>
        <v/>
      </c>
      <c r="N42" s="41">
        <f>IF(11&lt;=Ipoteze!C61,-$C$22/Ipoteze!C61,0)</f>
        <v/>
      </c>
      <c r="O42" s="41">
        <f>IF(12&lt;=Ipoteze!C61,-$C$22/Ipoteze!C61,0)</f>
        <v/>
      </c>
      <c r="P42" s="41">
        <f>IF(13&lt;=Ipoteze!C61,-$C$22/Ipoteze!C61,0)</f>
        <v/>
      </c>
      <c r="Q42" s="41">
        <f>IF(14&lt;=Ipoteze!C61,-$C$22/Ipoteze!C61,0)</f>
        <v/>
      </c>
      <c r="R42" s="41">
        <f>IF(15&lt;=Ipoteze!C61,-$C$22/Ipoteze!C61,0)</f>
        <v/>
      </c>
    </row>
    <row r="43">
      <c r="B43" s="37" t="inlineStr">
        <is>
          <t>Profit brut</t>
        </is>
      </c>
      <c r="C43" s="41" t="n">
        <v>0</v>
      </c>
      <c r="D43" s="41">
        <f>D41+D42</f>
        <v/>
      </c>
      <c r="E43" s="41">
        <f>E41+E42</f>
        <v/>
      </c>
      <c r="F43" s="41">
        <f>F41+F42</f>
        <v/>
      </c>
      <c r="G43" s="41">
        <f>G41+G42</f>
        <v/>
      </c>
      <c r="H43" s="41">
        <f>H41+H42</f>
        <v/>
      </c>
      <c r="I43" s="41">
        <f>I41+I42</f>
        <v/>
      </c>
      <c r="J43" s="41">
        <f>J41+J42</f>
        <v/>
      </c>
      <c r="K43" s="41">
        <f>K41+K42</f>
        <v/>
      </c>
      <c r="L43" s="41">
        <f>L41+L42</f>
        <v/>
      </c>
      <c r="M43" s="41">
        <f>M41+M42</f>
        <v/>
      </c>
      <c r="N43" s="41">
        <f>N41+N42</f>
        <v/>
      </c>
      <c r="O43" s="41">
        <f>O41+O42</f>
        <v/>
      </c>
      <c r="P43" s="41">
        <f>P41+P42</f>
        <v/>
      </c>
      <c r="Q43" s="41">
        <f>Q41+Q42</f>
        <v/>
      </c>
      <c r="R43" s="41">
        <f>R41+R42</f>
        <v/>
      </c>
    </row>
    <row r="44">
      <c r="B44" s="37" t="inlineStr">
        <is>
          <t>Impozit pe profit</t>
        </is>
      </c>
      <c r="C44" s="41" t="n">
        <v>0</v>
      </c>
      <c r="D44" s="41">
        <f>-MAX(0,D43)*Ipoteze!C60</f>
        <v/>
      </c>
      <c r="E44" s="41">
        <f>-MAX(0,E43)*Ipoteze!C60</f>
        <v/>
      </c>
      <c r="F44" s="41">
        <f>-MAX(0,F43)*Ipoteze!C60</f>
        <v/>
      </c>
      <c r="G44" s="41">
        <f>-MAX(0,G43)*Ipoteze!C60</f>
        <v/>
      </c>
      <c r="H44" s="41">
        <f>-MAX(0,H43)*Ipoteze!C60</f>
        <v/>
      </c>
      <c r="I44" s="41">
        <f>-MAX(0,I43)*Ipoteze!C60</f>
        <v/>
      </c>
      <c r="J44" s="41">
        <f>-MAX(0,J43)*Ipoteze!C60</f>
        <v/>
      </c>
      <c r="K44" s="41">
        <f>-MAX(0,K43)*Ipoteze!C60</f>
        <v/>
      </c>
      <c r="L44" s="41">
        <f>-MAX(0,L43)*Ipoteze!C60</f>
        <v/>
      </c>
      <c r="M44" s="41">
        <f>-MAX(0,M43)*Ipoteze!C60</f>
        <v/>
      </c>
      <c r="N44" s="41">
        <f>-MAX(0,N43)*Ipoteze!C60</f>
        <v/>
      </c>
      <c r="O44" s="41">
        <f>-MAX(0,O43)*Ipoteze!C60</f>
        <v/>
      </c>
      <c r="P44" s="41">
        <f>-MAX(0,P43)*Ipoteze!C60</f>
        <v/>
      </c>
      <c r="Q44" s="41">
        <f>-MAX(0,Q43)*Ipoteze!C60</f>
        <v/>
      </c>
      <c r="R44" s="41">
        <f>-MAX(0,R43)*Ipoteze!C60</f>
        <v/>
      </c>
    </row>
    <row r="45">
      <c r="B45" s="37" t="inlineStr">
        <is>
          <t>Profit net</t>
        </is>
      </c>
      <c r="C45" s="41" t="n">
        <v>0</v>
      </c>
      <c r="D45" s="41">
        <f>D43+D44</f>
        <v/>
      </c>
      <c r="E45" s="41">
        <f>E43+E44</f>
        <v/>
      </c>
      <c r="F45" s="41">
        <f>F43+F44</f>
        <v/>
      </c>
      <c r="G45" s="41">
        <f>G43+G44</f>
        <v/>
      </c>
      <c r="H45" s="41">
        <f>H43+H44</f>
        <v/>
      </c>
      <c r="I45" s="41">
        <f>I43+I44</f>
        <v/>
      </c>
      <c r="J45" s="41">
        <f>J43+J44</f>
        <v/>
      </c>
      <c r="K45" s="41">
        <f>K43+K44</f>
        <v/>
      </c>
      <c r="L45" s="41">
        <f>L43+L44</f>
        <v/>
      </c>
      <c r="M45" s="41">
        <f>M43+M44</f>
        <v/>
      </c>
      <c r="N45" s="41">
        <f>N43+N44</f>
        <v/>
      </c>
      <c r="O45" s="41">
        <f>O43+O44</f>
        <v/>
      </c>
      <c r="P45" s="41">
        <f>P43+P44</f>
        <v/>
      </c>
      <c r="Q45" s="41">
        <f>Q43+Q44</f>
        <v/>
      </c>
      <c r="R45" s="41">
        <f>R43+R44</f>
        <v/>
      </c>
    </row>
    <row r="46">
      <c r="B46" s="37" t="inlineStr">
        <is>
          <t>Investiție</t>
        </is>
      </c>
      <c r="C46" s="41">
        <f>-C22</f>
        <v/>
      </c>
    </row>
    <row r="47">
      <c r="B47" s="37" t="inlineStr">
        <is>
          <t>Grant încasat</t>
        </is>
      </c>
      <c r="C47" s="41">
        <f>C31</f>
        <v/>
      </c>
    </row>
    <row r="48">
      <c r="B48" s="43" t="inlineStr">
        <is>
          <t>FLUX DE NUMERAR NET</t>
        </is>
      </c>
      <c r="C48" s="44">
        <f>C46+C47</f>
        <v/>
      </c>
      <c r="D48" s="44">
        <f>D41+D44</f>
        <v/>
      </c>
      <c r="E48" s="44">
        <f>E41+E44</f>
        <v/>
      </c>
      <c r="F48" s="44">
        <f>F41+F44</f>
        <v/>
      </c>
      <c r="G48" s="44">
        <f>G41+G44</f>
        <v/>
      </c>
      <c r="H48" s="44">
        <f>H41+H44</f>
        <v/>
      </c>
      <c r="I48" s="44">
        <f>I41+I44</f>
        <v/>
      </c>
      <c r="J48" s="44">
        <f>J41+J44</f>
        <v/>
      </c>
      <c r="K48" s="44">
        <f>K41+K44</f>
        <v/>
      </c>
      <c r="L48" s="44">
        <f>L41+L44</f>
        <v/>
      </c>
      <c r="M48" s="44">
        <f>M41+M44</f>
        <v/>
      </c>
      <c r="N48" s="44">
        <f>N41+N44</f>
        <v/>
      </c>
      <c r="O48" s="44">
        <f>O41+O44</f>
        <v/>
      </c>
      <c r="P48" s="44">
        <f>P41+P44</f>
        <v/>
      </c>
      <c r="Q48" s="44">
        <f>Q41+Q44</f>
        <v/>
      </c>
      <c r="R48" s="44">
        <f>R41+R44</f>
        <v/>
      </c>
    </row>
    <row r="49">
      <c r="B49" s="37" t="inlineStr">
        <is>
          <t>Flux cumulat</t>
        </is>
      </c>
      <c r="C49" s="41">
        <f>C48</f>
        <v/>
      </c>
      <c r="D49" s="41">
        <f>C49+D48</f>
        <v/>
      </c>
      <c r="E49" s="41">
        <f>D49+E48</f>
        <v/>
      </c>
      <c r="F49" s="41">
        <f>E49+F48</f>
        <v/>
      </c>
      <c r="G49" s="41">
        <f>F49+G48</f>
        <v/>
      </c>
      <c r="H49" s="41">
        <f>G49+H48</f>
        <v/>
      </c>
      <c r="I49" s="41">
        <f>H49+I48</f>
        <v/>
      </c>
      <c r="J49" s="41">
        <f>I49+J48</f>
        <v/>
      </c>
      <c r="K49" s="41">
        <f>J49+K48</f>
        <v/>
      </c>
      <c r="L49" s="41">
        <f>K49+L48</f>
        <v/>
      </c>
      <c r="M49" s="41">
        <f>L49+M48</f>
        <v/>
      </c>
      <c r="N49" s="41">
        <f>M49+N48</f>
        <v/>
      </c>
      <c r="O49" s="41">
        <f>N49+O48</f>
        <v/>
      </c>
      <c r="P49" s="41">
        <f>O49+P48</f>
        <v/>
      </c>
      <c r="Q49" s="41">
        <f>P49+Q48</f>
        <v/>
      </c>
      <c r="R49" s="41">
        <f>Q49+R48</f>
        <v/>
      </c>
    </row>
    <row r="51">
      <c r="B51" s="39" t="inlineStr">
        <is>
          <t>5. INDICATORI DE PERFORMANȚĂ (SCENARIU CHINA)</t>
        </is>
      </c>
      <c r="C51" s="39" t="n"/>
      <c r="D51" s="39" t="n"/>
      <c r="E51" s="39" t="n"/>
    </row>
    <row r="52">
      <c r="B52" s="37" t="inlineStr">
        <is>
          <t>Investiție totală</t>
        </is>
      </c>
      <c r="C52" s="41">
        <f>C22</f>
        <v/>
      </c>
    </row>
    <row r="53">
      <c r="B53" s="37" t="inlineStr">
        <is>
          <t>Grant obținut</t>
        </is>
      </c>
      <c r="C53" s="41">
        <f>C31</f>
        <v/>
      </c>
    </row>
    <row r="54">
      <c r="B54" s="37" t="inlineStr">
        <is>
          <t>Contribuție proprie necesară</t>
        </is>
      </c>
      <c r="C54" s="41">
        <f>C32</f>
        <v/>
      </c>
    </row>
    <row r="55">
      <c r="B55" s="37" t="inlineStr">
        <is>
          <t>Ponderea grantului</t>
        </is>
      </c>
      <c r="C55" s="46">
        <f>IFERROR(C31/C22,0)</f>
        <v/>
      </c>
    </row>
    <row r="56">
      <c r="B56" s="37" t="inlineStr">
        <is>
          <t>EBITDA an 1</t>
        </is>
      </c>
      <c r="C56" s="41">
        <f>D41</f>
        <v/>
      </c>
    </row>
    <row r="57">
      <c r="B57" s="37" t="inlineStr">
        <is>
          <t>VAN al proiectului</t>
        </is>
      </c>
      <c r="C57" s="41">
        <f>NPV(Ipoteze!C59,D48:R48)+C48</f>
        <v/>
      </c>
    </row>
    <row r="58">
      <c r="B58" s="37" t="inlineStr">
        <is>
          <t>RIR al proiectului</t>
        </is>
      </c>
      <c r="C58" s="46">
        <f>IFERROR(IRR(C48:R48),0)</f>
        <v/>
      </c>
    </row>
    <row r="59">
      <c r="B59" s="37" t="inlineStr">
        <is>
          <t>Termen de recuperare simplu</t>
        </is>
      </c>
      <c r="C59" s="47">
        <f>IFERROR(MATCH(0,C49:R49,1),0)</f>
        <v/>
      </c>
    </row>
    <row r="61">
      <c r="B61" s="39" t="inlineStr">
        <is>
          <t>6. COMPARAȚIE EUROPA (Ipoteze) vs CHINA (acest scenariu)</t>
        </is>
      </c>
      <c r="C61" s="39" t="n"/>
      <c r="D61" s="39" t="n"/>
      <c r="E61" s="39" t="n"/>
    </row>
    <row r="62">
      <c r="B62" s="43" t="inlineStr">
        <is>
          <t>Indicator</t>
        </is>
      </c>
      <c r="C62" s="43" t="inlineStr">
        <is>
          <t>Europa (reper Ipoteze!C22)</t>
        </is>
      </c>
      <c r="D62" s="43" t="inlineStr">
        <is>
          <t>China (acest scenariu)</t>
        </is>
      </c>
      <c r="E62" s="43" t="inlineStr">
        <is>
          <t>Diferență</t>
        </is>
      </c>
    </row>
    <row r="63">
      <c r="B63" s="37" t="inlineStr">
        <is>
          <t>Cost turnkey referință (USD/MWh)</t>
        </is>
      </c>
      <c r="C63" s="41">
        <f>Ipoteze!C22</f>
        <v/>
      </c>
      <c r="D63" s="41">
        <f>C7</f>
        <v/>
      </c>
      <c r="E63" s="41">
        <f>D63-C63</f>
        <v/>
      </c>
    </row>
    <row r="64">
      <c r="B64" s="37" t="inlineStr">
        <is>
          <t>Total investiție (EUR)</t>
        </is>
      </c>
      <c r="C64" s="41">
        <f>Rezultate!C5</f>
        <v/>
      </c>
      <c r="D64" s="41">
        <f>C22</f>
        <v/>
      </c>
      <c r="E64" s="41">
        <f>D64-C64</f>
        <v/>
      </c>
    </row>
    <row r="65">
      <c r="B65" s="37" t="inlineStr">
        <is>
          <t>Contribuție proprie (EUR)</t>
        </is>
      </c>
      <c r="C65" s="41">
        <f>Rezultate!C8</f>
        <v/>
      </c>
      <c r="D65" s="41">
        <f>C32</f>
        <v/>
      </c>
      <c r="E65" s="41">
        <f>D65-C65</f>
        <v/>
      </c>
    </row>
    <row r="66">
      <c r="B66" s="37" t="inlineStr">
        <is>
          <t>VAN (EUR)</t>
        </is>
      </c>
      <c r="C66" s="41">
        <f>Rezultate!C12</f>
        <v/>
      </c>
      <c r="D66" s="41">
        <f>C57</f>
        <v/>
      </c>
      <c r="E66" s="41">
        <f>D66-C66</f>
        <v/>
      </c>
    </row>
    <row r="67">
      <c r="B67" s="37" t="inlineStr">
        <is>
          <t>RIR</t>
        </is>
      </c>
      <c r="C67" s="46">
        <f>Rezultate!C13</f>
        <v/>
      </c>
      <c r="D67" s="46">
        <f>C58</f>
        <v/>
      </c>
      <c r="E67" s="46">
        <f>D67-C67</f>
        <v/>
      </c>
    </row>
    <row r="68">
      <c r="B68" s="37" t="inlineStr">
        <is>
          <t>Termen de recuperare (ani)</t>
        </is>
      </c>
      <c r="C68" s="47">
        <f>Rezultate!C14</f>
        <v/>
      </c>
      <c r="D68" s="47">
        <f>C59</f>
        <v/>
      </c>
      <c r="E68" s="47">
        <f>D68-C68</f>
        <v/>
      </c>
    </row>
    <row r="70">
      <c r="B70" s="48" t="inlineStr">
        <is>
          <t>AVERTISMENT</t>
        </is>
      </c>
    </row>
    <row r="71">
      <c r="B71" s="37" t="inlineStr">
        <is>
          <t>Reperul de cost China e o valoare de piață generală (BNEF/Ember 2025-2026), NU o ofertă pentru acest proiect -- exact ca reperul Europa din Ipoteze. Diferența rezultată arată cât de sensibil e proiectul la costul unitar de echipamente, nu o recomandare de furnizor.</t>
        </is>
      </c>
    </row>
    <row r="72">
      <c r="B72" s="37" t="inlineStr">
        <is>
          <t>Taxe vamale/antidumping UE la celule și module LFP din China, certificarea CE, transportul și costul de service local pe durata de 15 ani a analizei NU sunt incluse în acest reper și pot reduce semnificativ avantajul de cost aparent. Verifică și eventuale cerințe de origine a echipamentelor din ghidul apelului.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2026-08-24T17:34:58Z</dcterms:created>
  <dcterms:modified xmlns:dcterms="http://purl.org/dc/terms/" xmlns:xsi="http://www.w3.org/2001/XMLSchema-instance" xsi:type="dcterms:W3CDTF">2026-08-24T20:29:24Z</dcterms:modified>
  <cp:lastModifiedBy>Lucian Neacsu</cp:lastModifiedBy>
  <cp:revision>0</cp:revision>
</cp:coreProperties>
</file>