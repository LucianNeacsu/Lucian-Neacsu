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I\Stocare Energie proiect1sept\"/>
    </mc:Choice>
  </mc:AlternateContent>
  <xr:revisionPtr revIDLastSave="0" documentId="8_{921865E2-79CD-4B7C-B5D3-4508E28209E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poteze" sheetId="1" r:id="rId1"/>
    <sheet name="CAPEX" sheetId="2" r:id="rId2"/>
    <sheet name="Finantare" sheetId="3" r:id="rId3"/>
    <sheet name="CashFlow" sheetId="4" r:id="rId4"/>
    <sheet name="Rezultate" sheetId="5" r:id="rId5"/>
    <sheet name="Scenarii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6" l="1"/>
  <c r="C12" i="6"/>
  <c r="D8" i="6"/>
  <c r="E7" i="6"/>
  <c r="E6" i="6"/>
  <c r="D6" i="6"/>
  <c r="C6" i="6"/>
  <c r="C8" i="6" s="1"/>
  <c r="R10" i="4"/>
  <c r="O10" i="4"/>
  <c r="N10" i="4"/>
  <c r="K10" i="4"/>
  <c r="J10" i="4"/>
  <c r="F10" i="4"/>
  <c r="R9" i="4"/>
  <c r="K9" i="4"/>
  <c r="F9" i="4"/>
  <c r="R8" i="4"/>
  <c r="N8" i="4"/>
  <c r="J8" i="4"/>
  <c r="F8" i="4"/>
  <c r="E8" i="4"/>
  <c r="R7" i="4"/>
  <c r="Q7" i="4"/>
  <c r="Q10" i="4" s="1"/>
  <c r="P7" i="4"/>
  <c r="P10" i="4" s="1"/>
  <c r="O7" i="4"/>
  <c r="O8" i="4" s="1"/>
  <c r="N7" i="4"/>
  <c r="M7" i="4"/>
  <c r="M10" i="4" s="1"/>
  <c r="L7" i="4"/>
  <c r="L10" i="4" s="1"/>
  <c r="K7" i="4"/>
  <c r="K8" i="4" s="1"/>
  <c r="J7" i="4"/>
  <c r="I7" i="4"/>
  <c r="I10" i="4" s="1"/>
  <c r="H7" i="4"/>
  <c r="H8" i="4" s="1"/>
  <c r="G7" i="4"/>
  <c r="G8" i="4" s="1"/>
  <c r="F7" i="4"/>
  <c r="E7" i="4"/>
  <c r="E10" i="4" s="1"/>
  <c r="D7" i="4"/>
  <c r="D8" i="4" s="1"/>
  <c r="C17" i="3"/>
  <c r="C15" i="3"/>
  <c r="C6" i="3"/>
  <c r="C5" i="3"/>
  <c r="C4" i="3"/>
  <c r="C9" i="2"/>
  <c r="D9" i="2" s="1"/>
  <c r="C32" i="1"/>
  <c r="C13" i="6" s="1"/>
  <c r="C23" i="1"/>
  <c r="C26" i="1" s="1"/>
  <c r="C14" i="1"/>
  <c r="N9" i="4" s="1"/>
  <c r="P8" i="4" l="1"/>
  <c r="H10" i="4"/>
  <c r="Q8" i="4"/>
  <c r="G9" i="4"/>
  <c r="M9" i="4"/>
  <c r="D10" i="4"/>
  <c r="D13" i="6"/>
  <c r="E13" i="6" s="1"/>
  <c r="I9" i="4"/>
  <c r="C11" i="6"/>
  <c r="D11" i="6"/>
  <c r="D12" i="6"/>
  <c r="E12" i="6" s="1"/>
  <c r="E8" i="6"/>
  <c r="Q9" i="4"/>
  <c r="P9" i="4"/>
  <c r="L9" i="4"/>
  <c r="H9" i="4"/>
  <c r="D9" i="4"/>
  <c r="C34" i="1"/>
  <c r="C8" i="2" s="1"/>
  <c r="D8" i="2" s="1"/>
  <c r="L8" i="4"/>
  <c r="C7" i="2"/>
  <c r="D7" i="2" s="1"/>
  <c r="M8" i="4"/>
  <c r="C27" i="1"/>
  <c r="C18" i="3"/>
  <c r="I8" i="4"/>
  <c r="E9" i="4"/>
  <c r="J9" i="4"/>
  <c r="O9" i="4"/>
  <c r="G10" i="4"/>
  <c r="D27" i="6"/>
  <c r="D21" i="6"/>
  <c r="C27" i="6"/>
  <c r="C28" i="6" s="1"/>
  <c r="E21" i="6" l="1"/>
  <c r="D28" i="6"/>
  <c r="E27" i="6"/>
  <c r="C10" i="6"/>
  <c r="C28" i="1"/>
  <c r="D10" i="6"/>
  <c r="E11" i="6"/>
  <c r="E28" i="6" l="1"/>
  <c r="C6" i="2"/>
  <c r="C40" i="1"/>
  <c r="C11" i="2" s="1"/>
  <c r="D11" i="2" s="1"/>
  <c r="C38" i="1"/>
  <c r="C10" i="2" s="1"/>
  <c r="D10" i="2" s="1"/>
  <c r="C42" i="1"/>
  <c r="C12" i="2" s="1"/>
  <c r="D12" i="2" s="1"/>
  <c r="D14" i="6"/>
  <c r="E14" i="6" s="1"/>
  <c r="D15" i="6"/>
  <c r="D16" i="6"/>
  <c r="E16" i="6" s="1"/>
  <c r="E10" i="6"/>
  <c r="D17" i="6"/>
  <c r="C14" i="6"/>
  <c r="C17" i="6" s="1"/>
  <c r="C15" i="6"/>
  <c r="C16" i="6"/>
  <c r="E17" i="6" l="1"/>
  <c r="C17" i="2"/>
  <c r="C13" i="2"/>
  <c r="D6" i="2"/>
  <c r="D18" i="6"/>
  <c r="C18" i="6"/>
  <c r="E15" i="6"/>
  <c r="C26" i="5" l="1"/>
  <c r="C24" i="5"/>
  <c r="C22" i="5"/>
  <c r="C25" i="5"/>
  <c r="C21" i="5"/>
  <c r="C23" i="5"/>
  <c r="C27" i="5"/>
  <c r="C7" i="3"/>
  <c r="C8" i="3" s="1"/>
  <c r="D17" i="2"/>
  <c r="C14" i="2"/>
  <c r="D14" i="2" s="1"/>
  <c r="C16" i="2"/>
  <c r="D13" i="2"/>
  <c r="C22" i="6"/>
  <c r="C19" i="6"/>
  <c r="C25" i="6" s="1"/>
  <c r="C29" i="6"/>
  <c r="C30" i="6" s="1"/>
  <c r="C23" i="6"/>
  <c r="D19" i="6"/>
  <c r="D29" i="6"/>
  <c r="D22" i="6"/>
  <c r="E18" i="6"/>
  <c r="D23" i="6"/>
  <c r="C19" i="4" l="1"/>
  <c r="C7" i="5"/>
  <c r="C11" i="3"/>
  <c r="C12" i="3"/>
  <c r="C9" i="5"/>
  <c r="C16" i="3"/>
  <c r="E22" i="6"/>
  <c r="Q13" i="4"/>
  <c r="M13" i="4"/>
  <c r="I13" i="4"/>
  <c r="E13" i="4"/>
  <c r="O11" i="4"/>
  <c r="O12" i="4" s="1"/>
  <c r="K11" i="4"/>
  <c r="K12" i="4" s="1"/>
  <c r="G11" i="4"/>
  <c r="G12" i="4" s="1"/>
  <c r="D27" i="5"/>
  <c r="D25" i="5"/>
  <c r="D23" i="5"/>
  <c r="D21" i="5"/>
  <c r="C18" i="4"/>
  <c r="C21" i="4" s="1"/>
  <c r="P13" i="4"/>
  <c r="L13" i="4"/>
  <c r="H13" i="4"/>
  <c r="D13" i="4"/>
  <c r="R11" i="4"/>
  <c r="R12" i="4" s="1"/>
  <c r="N11" i="4"/>
  <c r="N12" i="4" s="1"/>
  <c r="J11" i="4"/>
  <c r="J12" i="4" s="1"/>
  <c r="F11" i="4"/>
  <c r="F12" i="4" s="1"/>
  <c r="C6" i="5"/>
  <c r="K13" i="4"/>
  <c r="Q11" i="4"/>
  <c r="Q12" i="4" s="1"/>
  <c r="I11" i="4"/>
  <c r="I12" i="4" s="1"/>
  <c r="D16" i="2"/>
  <c r="C10" i="3"/>
  <c r="C8" i="5" s="1"/>
  <c r="O13" i="4"/>
  <c r="M11" i="4"/>
  <c r="M12" i="4" s="1"/>
  <c r="D26" i="5"/>
  <c r="N13" i="4"/>
  <c r="D11" i="4"/>
  <c r="D12" i="4" s="1"/>
  <c r="D24" i="5"/>
  <c r="C5" i="5"/>
  <c r="R13" i="4"/>
  <c r="J13" i="4"/>
  <c r="P11" i="4"/>
  <c r="P12" i="4" s="1"/>
  <c r="H11" i="4"/>
  <c r="H12" i="4" s="1"/>
  <c r="G13" i="4"/>
  <c r="E11" i="4"/>
  <c r="E12" i="4" s="1"/>
  <c r="D22" i="5"/>
  <c r="F13" i="4"/>
  <c r="L11" i="4"/>
  <c r="L12" i="4" s="1"/>
  <c r="E29" i="6"/>
  <c r="D30" i="6"/>
  <c r="E30" i="6" s="1"/>
  <c r="E19" i="6"/>
  <c r="D25" i="6"/>
  <c r="C31" i="6"/>
  <c r="I14" i="4" l="1"/>
  <c r="E14" i="4"/>
  <c r="J14" i="4"/>
  <c r="G14" i="4"/>
  <c r="D31" i="6"/>
  <c r="N14" i="4"/>
  <c r="K14" i="4"/>
  <c r="P14" i="4"/>
  <c r="M14" i="4"/>
  <c r="F14" i="4"/>
  <c r="C22" i="4"/>
  <c r="D14" i="4"/>
  <c r="C11" i="5"/>
  <c r="Q14" i="4"/>
  <c r="L14" i="4"/>
  <c r="H14" i="4"/>
  <c r="R14" i="4"/>
  <c r="O14" i="4"/>
  <c r="D15" i="4" l="1"/>
  <c r="D21" i="4" s="1"/>
  <c r="E15" i="4"/>
  <c r="E21" i="4" s="1"/>
  <c r="E16" i="4"/>
  <c r="Q15" i="4"/>
  <c r="Q21" i="4" s="1"/>
  <c r="Q16" i="4"/>
  <c r="F15" i="4"/>
  <c r="F21" i="4" s="1"/>
  <c r="F16" i="4"/>
  <c r="N15" i="4"/>
  <c r="N21" i="4" s="1"/>
  <c r="N16" i="4"/>
  <c r="D22" i="4"/>
  <c r="E22" i="4" s="1"/>
  <c r="F22" i="4" s="1"/>
  <c r="J15" i="4"/>
  <c r="J21" i="4" s="1"/>
  <c r="I15" i="4"/>
  <c r="I21" i="4" s="1"/>
  <c r="G15" i="4"/>
  <c r="G21" i="4" s="1"/>
  <c r="O15" i="4"/>
  <c r="O21" i="4" s="1"/>
  <c r="O16" i="4"/>
  <c r="H16" i="4"/>
  <c r="H15" i="4"/>
  <c r="H21" i="4" s="1"/>
  <c r="P15" i="4"/>
  <c r="P21" i="4" s="1"/>
  <c r="R15" i="4"/>
  <c r="R21" i="4" s="1"/>
  <c r="L15" i="4"/>
  <c r="L21" i="4" s="1"/>
  <c r="M15" i="4"/>
  <c r="M21" i="4" s="1"/>
  <c r="K15" i="4"/>
  <c r="K21" i="4" s="1"/>
  <c r="K16" i="4"/>
  <c r="G22" i="4" l="1"/>
  <c r="H22" i="4" s="1"/>
  <c r="I22" i="4" s="1"/>
  <c r="J22" i="4" s="1"/>
  <c r="C12" i="5"/>
  <c r="C13" i="5"/>
  <c r="L16" i="4"/>
  <c r="P16" i="4"/>
  <c r="I16" i="4"/>
  <c r="M16" i="4"/>
  <c r="R16" i="4"/>
  <c r="G16" i="4"/>
  <c r="J16" i="4"/>
  <c r="D16" i="4"/>
  <c r="K22" i="4" l="1"/>
  <c r="L22" i="4" s="1"/>
  <c r="M22" i="4" s="1"/>
  <c r="N22" i="4" s="1"/>
  <c r="O22" i="4" s="1"/>
  <c r="P22" i="4" s="1"/>
  <c r="Q22" i="4" s="1"/>
  <c r="R22" i="4" s="1"/>
  <c r="C14" i="5" l="1"/>
</calcChain>
</file>

<file path=xl/sharedStrings.xml><?xml version="1.0" encoding="utf-8"?>
<sst xmlns="http://schemas.openxmlformats.org/spreadsheetml/2006/main" count="301" uniqueCount="263">
  <si>
    <t>MODEL FINANCIAR — INSTALAȚIE STAND-ALONE DE STOCARE ÎN BATERII</t>
  </si>
  <si>
    <t>Cramele Odobești SA — apel Fondul pentru modernizare, Ministerul Energiei</t>
  </si>
  <si>
    <t>CIORNĂ DE LUCRU. Celulele galbene se completează de utilizator. Restul se calculează automat.</t>
  </si>
  <si>
    <t>LEGENDĂ</t>
  </si>
  <si>
    <t>Albastru pe fond galben = date de intrare, se modifică</t>
  </si>
  <si>
    <t>Negru = formulă calculată în această foaie</t>
  </si>
  <si>
    <t>Verde = preluat din altă foaie</t>
  </si>
  <si>
    <t>1. CONFIGURAȚIA TEHNICĂ</t>
  </si>
  <si>
    <t>Capacitate instalată</t>
  </si>
  <si>
    <t>MWh</t>
  </si>
  <si>
    <t>Configurația Echilibrată din memoriu. Max analizat: 300 MWh</t>
  </si>
  <si>
    <t>Durata de stocare</t>
  </si>
  <si>
    <t>ore</t>
  </si>
  <si>
    <t>Ghidul cere raport minim 2:1. Recomandat 4:1</t>
  </si>
  <si>
    <t>Putere instalată</t>
  </si>
  <si>
    <t>MW</t>
  </si>
  <si>
    <t>Rezultă din capacitate și durată</t>
  </si>
  <si>
    <t>Randament dus-întors (RTE)</t>
  </si>
  <si>
    <t>[DE COMPLETAT] din fișa tehnică a furnizorului</t>
  </si>
  <si>
    <t>Degradare anuală a capacității</t>
  </si>
  <si>
    <t>[DE COMPLETAT] din garanția furnizorului</t>
  </si>
  <si>
    <t>Cicluri complete pe an</t>
  </si>
  <si>
    <t>cicluri</t>
  </si>
  <si>
    <t>[DE COMPLETAT] din strategia de operare din studiul de fezabilitate</t>
  </si>
  <si>
    <t>Adâncime de descărcare utilizabilă</t>
  </si>
  <si>
    <t>[DE COMPLETAT] din fișa tehnică</t>
  </si>
  <si>
    <t>2. COST DE INVESTIȚIE — REPERE DE PIAȚĂ, NU OFERTE</t>
  </si>
  <si>
    <t>Curs de schimb USD/EUR</t>
  </si>
  <si>
    <t>EUR/USD</t>
  </si>
  <si>
    <t>[DE COMPLETAT] cursul de la data ofertei</t>
  </si>
  <si>
    <t>Cost turnkey de referință</t>
  </si>
  <si>
    <t>USD/MWh</t>
  </si>
  <si>
    <t>Reper BNEF 2025 pentru Europa, sistem turnkey 4h. NU este ofertă.</t>
  </si>
  <si>
    <t>EUR/MWh</t>
  </si>
  <si>
    <t>Convertit la cursul de mai sus. Valabil pentru configurația de referință 4h.</t>
  </si>
  <si>
    <t>Pondere cost legat de putere</t>
  </si>
  <si>
    <t>[DE COMPLETAT] din structura ofertei. Cât din costul turnkey ține de PCS, trafo, celule MT — componente care scalează cu MW, nu cu MWh.</t>
  </si>
  <si>
    <t>Cost unitar de putere</t>
  </si>
  <si>
    <t>EUR/MW</t>
  </si>
  <si>
    <t>Derivat astfel încât totalul să reconcilieze cu reperul la 4 ore</t>
  </si>
  <si>
    <t>Cost unitar energetic</t>
  </si>
  <si>
    <t>Celule, module, BMS, containere, climatizare — scalează cu MWh</t>
  </si>
  <si>
    <t>Cost echipamente BESS</t>
  </si>
  <si>
    <t>EUR</t>
  </si>
  <si>
    <t>Componenta energetică plus componenta de putere. Aceasta este structura care face ca durata de stocare să conteze.</t>
  </si>
  <si>
    <t>Lungime traseu racord</t>
  </si>
  <si>
    <t>km</t>
  </si>
  <si>
    <t>Variante din planșă: 4,40 / 5,70 / 6,00 / 7,30 km</t>
  </si>
  <si>
    <t>Cost unitar linie 110 kV</t>
  </si>
  <si>
    <t>EUR/km</t>
  </si>
  <si>
    <t>[DE COMPLETAT] din studiul de soluție. Valoare de test.</t>
  </si>
  <si>
    <t>Cost linie de racord</t>
  </si>
  <si>
    <t>Lungime x cost unitar</t>
  </si>
  <si>
    <t>Stație de conexiune 110 kV</t>
  </si>
  <si>
    <t>[DE COMPLETAT] din deviz. Scalează cu puterea racordată. Valoare de test.</t>
  </si>
  <si>
    <t>Cost stație de conexiune</t>
  </si>
  <si>
    <t>Putere x cost unitar</t>
  </si>
  <si>
    <t>Tarif de racordare</t>
  </si>
  <si>
    <t>[DE VERIFICAT] valoarea și eligibilitatea. Se completează după ATR.</t>
  </si>
  <si>
    <t>Construcții civile, platformă, drumuri</t>
  </si>
  <si>
    <t>% din echipamente</t>
  </si>
  <si>
    <t>[DE COMPLETAT] din deviz</t>
  </si>
  <si>
    <t>Cost construcții civile</t>
  </si>
  <si>
    <t>Sisteme de siguranță și incendiu</t>
  </si>
  <si>
    <t>[DE COMPLETAT] din scenariul ISU</t>
  </si>
  <si>
    <t>Cost sisteme de siguranță</t>
  </si>
  <si>
    <t>Proiectare, avize, consultanță</t>
  </si>
  <si>
    <t>Probabil NEELIGIBIL [DE VERIFICAT]</t>
  </si>
  <si>
    <t>Cost proiectare și avize</t>
  </si>
  <si>
    <t>Neprevăzute</t>
  </si>
  <si>
    <t>% din total</t>
  </si>
  <si>
    <t>Marjă de siguranță pe deviz</t>
  </si>
  <si>
    <t>3. FINANȚARE</t>
  </si>
  <si>
    <t>Ofertă în procedura concurențială</t>
  </si>
  <si>
    <t>CRITIC: criteriul unic de clasare. Cel mai mic câștigă.</t>
  </si>
  <si>
    <t>Plafon unitar reglementat</t>
  </si>
  <si>
    <t>Din schema aprobată prin Ordinul 745/2026</t>
  </si>
  <si>
    <t>Plafon per întreprindere</t>
  </si>
  <si>
    <t>4. VENITURI DIN EXPLOATARE</t>
  </si>
  <si>
    <t>Spread mediu valorificat</t>
  </si>
  <si>
    <t>[DE COMPLETAT] din analiza de piață. Valoare de test.</t>
  </si>
  <si>
    <t>Venit din servicii de sistem</t>
  </si>
  <si>
    <t>EUR/MW/an</t>
  </si>
  <si>
    <t>[DE COMPLETAT] din analiza de piață. Zero până la fundamentare.</t>
  </si>
  <si>
    <t>Tarife de rețea și consum tehnologic</t>
  </si>
  <si>
    <t>EUR/MWh vehiculat</t>
  </si>
  <si>
    <t>[DE VERIFICAT] regimul aplicabil stocării</t>
  </si>
  <si>
    <t>Costuri de operare și mentenanță</t>
  </si>
  <si>
    <t>% din CAPEX/an</t>
  </si>
  <si>
    <t>[DE COMPLETAT] din contractul O&amp;M</t>
  </si>
  <si>
    <t>Indexare anuală</t>
  </si>
  <si>
    <t>Aplicată veniturilor și cheltuielilor</t>
  </si>
  <si>
    <t>5. PARAMETRI FINANCIARI</t>
  </si>
  <si>
    <t>Durata de analiză</t>
  </si>
  <si>
    <t>ani</t>
  </si>
  <si>
    <t>Aliniată cu durata de viață tehnică estimată</t>
  </si>
  <si>
    <t>Rata de actualizare</t>
  </si>
  <si>
    <t>Costul mediu ponderat al capitalului. [DE COMPLETAT]</t>
  </si>
  <si>
    <t>Impozit pe profit</t>
  </si>
  <si>
    <t>Cota standard</t>
  </si>
  <si>
    <t>Durata de amortizare</t>
  </si>
  <si>
    <t>Liniară</t>
  </si>
  <si>
    <t>SURSE PENTRU REPERELE DE COST</t>
  </si>
  <si>
    <t>BNEF Battery Price Survey (via howtostoreelectricity.com, apr. 2026): sisteme turnkey 4h cca 110-117 USD/kWh media globala 2025; cca 177 USD/kWh Europa; cca 219 USD/kWh SUA.</t>
  </si>
  <si>
    <t>Ember Energy (apr. 2026): capex all-in cca 125 USD/kWh pentru proiecte 4h+ in afara Chinei si SUA, din care cca 75 USD/kWh echipamente si cca 50 USD/kWh instalare si racordare.</t>
  </si>
  <si>
    <t>polinovelbess.com (apr. 2026): EPC Europa 4h LFP cca 180-260 USD/kWh instalat.</t>
  </si>
  <si>
    <t>ATENTIE: acestea sunt repere internationale de piata, nu oferte pentru acest proiect. Se inlocuiesc cu ofertele furnizorilor inainte de orice decizie.</t>
  </si>
  <si>
    <t>BUGETUL DE INVESTIȚIE</t>
  </si>
  <si>
    <t>Toate valorile derivă din foaia Ipoteze. Nu se scrie direct în această foaie.</t>
  </si>
  <si>
    <t>Categorie</t>
  </si>
  <si>
    <t>Valoare (EUR)</t>
  </si>
  <si>
    <t>Eligibil</t>
  </si>
  <si>
    <t>Observație</t>
  </si>
  <si>
    <t>Echipamente BESS (celule, PCS, trafo, EMS)</t>
  </si>
  <si>
    <t>DA</t>
  </si>
  <si>
    <t>Componenta majoritară</t>
  </si>
  <si>
    <t>Linie de racord 110 kV</t>
  </si>
  <si>
    <t>[DE VERIFICAT]</t>
  </si>
  <si>
    <t>Depinde de traseul ales</t>
  </si>
  <si>
    <t>Stație de conexiune</t>
  </si>
  <si>
    <t>Se completează după ATR</t>
  </si>
  <si>
    <t>Construcții civile</t>
  </si>
  <si>
    <t>Frecvent subestimat</t>
  </si>
  <si>
    <t>NU (probabil)</t>
  </si>
  <si>
    <t>[DE VERIFICAT] în ghid</t>
  </si>
  <si>
    <t>Subtotal</t>
  </si>
  <si>
    <t>TOTAL INVESTIȚIE</t>
  </si>
  <si>
    <t>Total cheltuieli eligibile (estimat)</t>
  </si>
  <si>
    <t>Exclude proiectarea și, prudent, linia și tariful de racordare până la clarificare</t>
  </si>
  <si>
    <t>STRUCTURA DE FINANȚARE ȘI TESTUL PLAFOANELOR</t>
  </si>
  <si>
    <t>Ajutor cerut = ofertă x capacitate</t>
  </si>
  <si>
    <t>Produsul dintre oferta în EUR/MWh și MWh instalați</t>
  </si>
  <si>
    <t>Test 1: plafon unitar (69.000 EUR/MWh)</t>
  </si>
  <si>
    <t>Ajutorul nu poate depăși această valoare</t>
  </si>
  <si>
    <t>Test 2: plafon per întreprindere</t>
  </si>
  <si>
    <t>Ajutorul nu poate depăși 15 mil. EUR</t>
  </si>
  <si>
    <t>Test 3: 100% din cheltuielile eligibile</t>
  </si>
  <si>
    <t>Intensitatea nu poate depăși 100% din costurile eligibile</t>
  </si>
  <si>
    <t>AJUTOR ACORDABIL</t>
  </si>
  <si>
    <t>Valoarea cea mai mică dintre cererea proprie și cele trei plafoane</t>
  </si>
  <si>
    <t>Contribuție proprie</t>
  </si>
  <si>
    <t>Diferența dintre investiția totală și ajutor</t>
  </si>
  <si>
    <t>Ponderea ajutorului în investiția totală</t>
  </si>
  <si>
    <t>Cât din proiect acoperă efectiv grantul</t>
  </si>
  <si>
    <t>Intensitate față de cheltuielile eligibile</t>
  </si>
  <si>
    <t>Trebuie să fie sub 100%</t>
  </si>
  <si>
    <t>VERIFICĂRI</t>
  </si>
  <si>
    <t>Oferta este sub plafonul unitar?</t>
  </si>
  <si>
    <t>Oferta peste 69.000 EUR/MWh este inadmisibilă</t>
  </si>
  <si>
    <t>Ajutorul acoperă cheltuielile eligibile?</t>
  </si>
  <si>
    <t>Ajutorul nu poate depăși costurile eligibile</t>
  </si>
  <si>
    <t>Raport capacitate/putere conform?</t>
  </si>
  <si>
    <t>Ghidul cere minimum 2 ore</t>
  </si>
  <si>
    <t>Putere peste minimul de 1 MW?</t>
  </si>
  <si>
    <t>Ghidul cere minimum 1 MW</t>
  </si>
  <si>
    <t>OBSERVAȚIE</t>
  </si>
  <si>
    <t>Cu reperele de cost europene, ajutorul acoperă o parte minoritară a investiției. Aceasta este premisa de planificare, nu o eroare de model.</t>
  </si>
  <si>
    <t>PROIECȚIA FLUXURILOR DE NUMERAR</t>
  </si>
  <si>
    <t>Anul 0 = investiția. Anii 1-15 = exploatare.</t>
  </si>
  <si>
    <t>An 0</t>
  </si>
  <si>
    <t>An 1</t>
  </si>
  <si>
    <t>An 2</t>
  </si>
  <si>
    <t>An 3</t>
  </si>
  <si>
    <t>An 4</t>
  </si>
  <si>
    <t>An 5</t>
  </si>
  <si>
    <t>An 6</t>
  </si>
  <si>
    <t>An 7</t>
  </si>
  <si>
    <t>An 8</t>
  </si>
  <si>
    <t>An 9</t>
  </si>
  <si>
    <t>An 10</t>
  </si>
  <si>
    <t>An 11</t>
  </si>
  <si>
    <t>An 12</t>
  </si>
  <si>
    <t>An 13</t>
  </si>
  <si>
    <t>An 14</t>
  </si>
  <si>
    <t>An 15</t>
  </si>
  <si>
    <t>Energie descărcată (MWh/an)</t>
  </si>
  <si>
    <t>Venit din arbitraj</t>
  </si>
  <si>
    <t>Costuri de rețea și consum tehnologic</t>
  </si>
  <si>
    <t>Costuri O&amp;M</t>
  </si>
  <si>
    <t>EBITDA</t>
  </si>
  <si>
    <t>Amortizare</t>
  </si>
  <si>
    <t>Profit brut</t>
  </si>
  <si>
    <t>Profit net</t>
  </si>
  <si>
    <t>Investiție</t>
  </si>
  <si>
    <t>Grant încasat</t>
  </si>
  <si>
    <t>FLUX DE NUMERAR NET</t>
  </si>
  <si>
    <t>Flux cumulat</t>
  </si>
  <si>
    <t>INDICATORI DE PERFORMANȚĂ</t>
  </si>
  <si>
    <t>Rezultatele sunt valide doar în măsura în care ipotezele sunt reale. Cu valorile de test actuale, ele indică ordine de mărime, nu prognoze.</t>
  </si>
  <si>
    <t>Investiție totală</t>
  </si>
  <si>
    <t>Din foaia CAPEX</t>
  </si>
  <si>
    <t>Cost unitar al investiției</t>
  </si>
  <si>
    <t>EUR/MWh instalat</t>
  </si>
  <si>
    <t>Grant obținut</t>
  </si>
  <si>
    <t>După aplicarea celor trei plafoane</t>
  </si>
  <si>
    <t>Contribuție proprie necesară</t>
  </si>
  <si>
    <t>Suma care trebuie asigurată din surse proprii sau atrase</t>
  </si>
  <si>
    <t>Ponderea grantului</t>
  </si>
  <si>
    <t>Cât din investiție acoperă ajutorul</t>
  </si>
  <si>
    <t>EBITDA an 1</t>
  </si>
  <si>
    <t>Primul an de exploatare</t>
  </si>
  <si>
    <t>VAN al proiectului</t>
  </si>
  <si>
    <t>Valoare actualizată netă, incluzând grantul</t>
  </si>
  <si>
    <t>RIR al proiectului</t>
  </si>
  <si>
    <t>Rata internă de rentabilitate</t>
  </si>
  <si>
    <t>Termen de recuperare simplu</t>
  </si>
  <si>
    <t>Anul în care fluxul cumulat devine pozitiv</t>
  </si>
  <si>
    <t>SENZITIVITATE: OFERTA ÎN EUR/MWh</t>
  </si>
  <si>
    <t>Modificați oferta în Ipoteze și urmăriți efectul asupra contribuției proprii și a RIR.</t>
  </si>
  <si>
    <t>Ofertă (EUR/MWh)</t>
  </si>
  <si>
    <t>Ajutor (EUR)</t>
  </si>
  <si>
    <t>Contribuție proprie (EUR)</t>
  </si>
  <si>
    <t>AVERTISMENT</t>
  </si>
  <si>
    <t>Acest model NU contine oferte reale. Costurile sunt repere internationale de piata, iar spread-ul si serviciile de sistem sunt valori de test.</t>
  </si>
  <si>
    <t>Nicio decizie de investitie sau de ofertare nu trebuie luata pe baza acestor cifre.</t>
  </si>
  <si>
    <t>Modelul devine utilizabil dupa completarea celulelor galbene cu date din oferte, din studiul de solutie si din analiza de piata.</t>
  </si>
  <si>
    <t>COMPARAȚIA SCENARIILOR TEHNICO-ECONOMICE</t>
  </si>
  <si>
    <t>Aceeași capacitate instalată, durate diferite de stocare. Cerință a studiului de fezabilitate conform H.G. 907/2016.</t>
  </si>
  <si>
    <t>Element</t>
  </si>
  <si>
    <t>Scenariul 1 (4h)</t>
  </si>
  <si>
    <t>Scenariul 2 (2h)</t>
  </si>
  <si>
    <t>Diferență</t>
  </si>
  <si>
    <t>Capacitate instalată (MWh)</t>
  </si>
  <si>
    <t>Identică prin construcție</t>
  </si>
  <si>
    <t>Durata de stocare (ore)</t>
  </si>
  <si>
    <t>Scenariul 2 este la minimul admis de ghid</t>
  </si>
  <si>
    <t>Putere instalată (MW)</t>
  </si>
  <si>
    <t>Cost componentă energetică</t>
  </si>
  <si>
    <t>Identic — depinde doar de MWh</t>
  </si>
  <si>
    <t>Cost componentă de putere</t>
  </si>
  <si>
    <t>Scenariul 2 are putere dublă</t>
  </si>
  <si>
    <t>Scalează cu puterea racordată</t>
  </si>
  <si>
    <t>Linie de racord</t>
  </si>
  <si>
    <t>Identică — același traseu</t>
  </si>
  <si>
    <t>Procent din echipamente</t>
  </si>
  <si>
    <t>Sisteme de siguranță</t>
  </si>
  <si>
    <t>Proiectare și avize</t>
  </si>
  <si>
    <t>Probabil neeligibil</t>
  </si>
  <si>
    <t>Marjă pe deviz</t>
  </si>
  <si>
    <t>Suma tuturor categoriilor</t>
  </si>
  <si>
    <t>Cost unitar (EUR/MWh instalat)</t>
  </si>
  <si>
    <t>Baza pentru stabilirea ofertei</t>
  </si>
  <si>
    <t>Ajutor la oferta din Ipoteze</t>
  </si>
  <si>
    <t>Identic — ajutorul se calculează pe MWh, nu pe MW</t>
  </si>
  <si>
    <t>Diferența rămasă de acoperit</t>
  </si>
  <si>
    <t>Ponderea ajutorului</t>
  </si>
  <si>
    <t>Cât acoperă grantul din investiție</t>
  </si>
  <si>
    <t>Plafonul de 69.000 acoperă din cost unitar</t>
  </si>
  <si>
    <t>Cât din costul unitar poate acoperi cel mult plafonul reglementat</t>
  </si>
  <si>
    <t>Energie descărcată an 1 (MWh)</t>
  </si>
  <si>
    <t>La același număr de cicluri</t>
  </si>
  <si>
    <t>Venit brut din arbitraj an 1</t>
  </si>
  <si>
    <t>ATENȚIE: spreadul valorificabil diferă între 4h și 2h. [DE COMPLETAT] din analiza de piață</t>
  </si>
  <si>
    <t>Costuri O&amp;M an 1</t>
  </si>
  <si>
    <t>Procent din investiție</t>
  </si>
  <si>
    <t>Fără serviciile de sistem</t>
  </si>
  <si>
    <t>Termen simplu de recuperare (ani)</t>
  </si>
  <si>
    <t>Contribuție proprie împărțită la EBITDA</t>
  </si>
  <si>
    <t>CONCLUZIA COMPARAȚIEI</t>
  </si>
  <si>
    <t>Ajutorul de stat este identic in cele doua scenarii, pentru ca se calculeaza pe MWh instalati. Diferenta se manifesta integral pe partea de costuri.</t>
  </si>
  <si>
    <t>Scenariul 2 are aceeasi capacitate, deci acelasi grant maxim, dar putere dubla — deci costuri mai mari de conversie si de racordare.</t>
  </si>
  <si>
    <t>Rezulta un cost unitar mai mare pe MWh, deci o pozitie mai slaba intr-o licitatie departajata exclusiv pe euro/MWh.</t>
  </si>
  <si>
    <t>ATENTIE la randul de venituri: modelul aplica acelasi spread ambelor scenarii, ceea ce favorizeaza artificial scenariul 2. In realitate un sistem de 2 ore valorifica un spread diferit. Se corecteaza dupa analiza de piata.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</si>
</sst>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\(#,##0.0\);\-"/>
    <numFmt numFmtId="165" formatCode="0.0%"/>
    <numFmt numFmtId="166" formatCode="0.000"/>
    <numFmt numFmtId="167" formatCode="#,##0;\(#,##0\);\-"/>
  </numFmts>
  <fonts count="11" x14ac:knownFonts="1"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i/>
      <sz val="10"/>
      <name val="Arial"/>
      <charset val="1"/>
    </font>
    <font>
      <b/>
      <sz val="10"/>
      <color rgb="FFC0000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sz val="10"/>
      <color rgb="FF008000"/>
      <name val="Arial"/>
      <charset val="1"/>
    </font>
    <font>
      <b/>
      <sz val="10"/>
      <color rgb="FFFFFFFF"/>
      <name val="Arial"/>
      <charset val="1"/>
    </font>
    <font>
      <i/>
      <sz val="8"/>
      <color rgb="FF808080"/>
      <name val="Arial"/>
      <charset val="1"/>
    </font>
    <font>
      <i/>
      <sz val="9"/>
      <color rgb="FFC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BFBFB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3" borderId="0" xfId="0" applyFont="1" applyFill="1"/>
    <xf numFmtId="0" fontId="0" fillId="3" borderId="0" xfId="0" applyFill="1"/>
    <xf numFmtId="164" fontId="5" fillId="2" borderId="1" xfId="0" applyNumberFormat="1" applyFont="1" applyFill="1" applyBorder="1"/>
    <xf numFmtId="0" fontId="9" fillId="0" borderId="0" xfId="0" applyFont="1"/>
    <xf numFmtId="164" fontId="6" fillId="0" borderId="1" xfId="0" applyNumberFormat="1" applyFont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0" fontId="8" fillId="3" borderId="1" xfId="0" applyFont="1" applyFill="1" applyBorder="1"/>
    <xf numFmtId="167" fontId="7" fillId="0" borderId="1" xfId="0" applyNumberFormat="1" applyFont="1" applyBorder="1"/>
    <xf numFmtId="167" fontId="6" fillId="0" borderId="0" xfId="0" applyNumberFormat="1" applyFont="1"/>
    <xf numFmtId="167" fontId="4" fillId="4" borderId="0" xfId="0" applyNumberFormat="1" applyFont="1" applyFill="1"/>
    <xf numFmtId="167" fontId="0" fillId="0" borderId="0" xfId="0" applyNumberFormat="1"/>
    <xf numFmtId="167" fontId="4" fillId="2" borderId="1" xfId="0" applyNumberFormat="1" applyFont="1" applyFill="1" applyBorder="1"/>
    <xf numFmtId="167" fontId="4" fillId="2" borderId="0" xfId="0" applyNumberFormat="1" applyFont="1" applyFill="1"/>
    <xf numFmtId="167" fontId="4" fillId="0" borderId="1" xfId="0" applyNumberFormat="1" applyFont="1" applyBorder="1"/>
    <xf numFmtId="167" fontId="6" fillId="0" borderId="1" xfId="0" applyNumberFormat="1" applyFont="1" applyBorder="1"/>
    <xf numFmtId="165" fontId="4" fillId="0" borderId="1" xfId="0" applyNumberFormat="1" applyFont="1" applyBorder="1"/>
    <xf numFmtId="165" fontId="6" fillId="0" borderId="1" xfId="0" applyNumberFormat="1" applyFont="1" applyBorder="1"/>
    <xf numFmtId="0" fontId="6" fillId="0" borderId="1" xfId="0" applyFont="1" applyBorder="1"/>
    <xf numFmtId="0" fontId="8" fillId="3" borderId="0" xfId="0" applyFont="1" applyFill="1" applyAlignment="1">
      <alignment horizontal="center"/>
    </xf>
    <xf numFmtId="164" fontId="6" fillId="0" borderId="0" xfId="0" applyNumberFormat="1" applyFont="1"/>
    <xf numFmtId="167" fontId="4" fillId="0" borderId="0" xfId="0" applyNumberFormat="1" applyFont="1"/>
    <xf numFmtId="167" fontId="7" fillId="0" borderId="0" xfId="0" applyNumberFormat="1" applyFont="1"/>
    <xf numFmtId="0" fontId="10" fillId="0" borderId="0" xfId="0" applyFont="1"/>
    <xf numFmtId="167" fontId="6" fillId="2" borderId="1" xfId="0" applyNumberFormat="1" applyFont="1" applyFill="1" applyBorder="1"/>
    <xf numFmtId="165" fontId="6" fillId="2" borderId="1" xfId="0" applyNumberFormat="1" applyFont="1" applyFill="1" applyBorder="1"/>
    <xf numFmtId="1" fontId="6" fillId="2" borderId="1" xfId="0" applyNumberFormat="1" applyFont="1" applyFill="1" applyBorder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67"/>
  <sheetViews>
    <sheetView showGridLines="0" tabSelected="1" zoomScaleNormal="100" workbookViewId="0"/>
  </sheetViews>
  <sheetFormatPr defaultColWidth="8.6640625" defaultRowHeight="14.4" x14ac:dyDescent="0.3"/>
  <cols>
    <col min="1" max="1" width="3" customWidth="1"/>
    <col min="2" max="2" width="52" customWidth="1"/>
    <col min="3" max="3" width="16" customWidth="1"/>
    <col min="4" max="4" width="12" customWidth="1"/>
    <col min="5" max="5" width="62" customWidth="1"/>
  </cols>
  <sheetData>
    <row r="2" spans="2:5" ht="16.8" x14ac:dyDescent="0.3">
      <c r="B2" s="1" t="s">
        <v>0</v>
      </c>
    </row>
    <row r="3" spans="2:5" x14ac:dyDescent="0.3">
      <c r="B3" s="2" t="s">
        <v>1</v>
      </c>
    </row>
    <row r="4" spans="2:5" x14ac:dyDescent="0.3">
      <c r="B4" s="3" t="s">
        <v>2</v>
      </c>
    </row>
    <row r="6" spans="2:5" x14ac:dyDescent="0.3">
      <c r="B6" s="4" t="s">
        <v>3</v>
      </c>
    </row>
    <row r="7" spans="2:5" x14ac:dyDescent="0.3">
      <c r="B7" s="5" t="s">
        <v>4</v>
      </c>
    </row>
    <row r="8" spans="2:5" x14ac:dyDescent="0.3">
      <c r="B8" s="6" t="s">
        <v>5</v>
      </c>
    </row>
    <row r="9" spans="2:5" x14ac:dyDescent="0.3">
      <c r="B9" s="7" t="s">
        <v>6</v>
      </c>
    </row>
    <row r="11" spans="2:5" x14ac:dyDescent="0.3">
      <c r="B11" s="8" t="s">
        <v>7</v>
      </c>
      <c r="C11" s="9"/>
      <c r="D11" s="9"/>
      <c r="E11" s="9"/>
    </row>
    <row r="12" spans="2:5" x14ac:dyDescent="0.3">
      <c r="B12" s="6" t="s">
        <v>8</v>
      </c>
      <c r="C12" s="10">
        <v>200</v>
      </c>
      <c r="D12" s="6" t="s">
        <v>9</v>
      </c>
      <c r="E12" s="11" t="s">
        <v>10</v>
      </c>
    </row>
    <row r="13" spans="2:5" x14ac:dyDescent="0.3">
      <c r="B13" s="6" t="s">
        <v>11</v>
      </c>
      <c r="C13" s="10">
        <v>4</v>
      </c>
      <c r="D13" s="6" t="s">
        <v>12</v>
      </c>
      <c r="E13" s="11" t="s">
        <v>13</v>
      </c>
    </row>
    <row r="14" spans="2:5" x14ac:dyDescent="0.3">
      <c r="B14" s="4" t="s">
        <v>14</v>
      </c>
      <c r="C14" s="12">
        <f>C12/C13</f>
        <v>50</v>
      </c>
      <c r="D14" s="6" t="s">
        <v>15</v>
      </c>
      <c r="E14" s="11" t="s">
        <v>16</v>
      </c>
    </row>
    <row r="15" spans="2:5" x14ac:dyDescent="0.3">
      <c r="B15" s="6" t="s">
        <v>17</v>
      </c>
      <c r="C15" s="13">
        <v>0.88</v>
      </c>
      <c r="D15" s="6"/>
      <c r="E15" s="11" t="s">
        <v>18</v>
      </c>
    </row>
    <row r="16" spans="2:5" x14ac:dyDescent="0.3">
      <c r="B16" s="6" t="s">
        <v>19</v>
      </c>
      <c r="C16" s="13">
        <v>0.02</v>
      </c>
      <c r="D16" s="6"/>
      <c r="E16" s="11" t="s">
        <v>20</v>
      </c>
    </row>
    <row r="17" spans="2:5" x14ac:dyDescent="0.3">
      <c r="B17" s="6" t="s">
        <v>21</v>
      </c>
      <c r="C17" s="10">
        <v>300</v>
      </c>
      <c r="D17" s="6" t="s">
        <v>22</v>
      </c>
      <c r="E17" s="11" t="s">
        <v>23</v>
      </c>
    </row>
    <row r="18" spans="2:5" x14ac:dyDescent="0.3">
      <c r="B18" s="6" t="s">
        <v>24</v>
      </c>
      <c r="C18" s="13">
        <v>0.9</v>
      </c>
      <c r="D18" s="6"/>
      <c r="E18" s="11" t="s">
        <v>25</v>
      </c>
    </row>
    <row r="20" spans="2:5" x14ac:dyDescent="0.3">
      <c r="B20" s="8" t="s">
        <v>26</v>
      </c>
      <c r="C20" s="9"/>
      <c r="D20" s="9"/>
      <c r="E20" s="9"/>
    </row>
    <row r="21" spans="2:5" x14ac:dyDescent="0.3">
      <c r="B21" s="6" t="s">
        <v>27</v>
      </c>
      <c r="C21" s="14">
        <v>0.9</v>
      </c>
      <c r="D21" s="6" t="s">
        <v>28</v>
      </c>
      <c r="E21" s="11" t="s">
        <v>29</v>
      </c>
    </row>
    <row r="22" spans="2:5" x14ac:dyDescent="0.3">
      <c r="B22" s="6" t="s">
        <v>30</v>
      </c>
      <c r="C22" s="10">
        <v>177000</v>
      </c>
      <c r="D22" s="6" t="s">
        <v>31</v>
      </c>
      <c r="E22" s="11" t="s">
        <v>32</v>
      </c>
    </row>
    <row r="23" spans="2:5" x14ac:dyDescent="0.3">
      <c r="B23" s="4" t="s">
        <v>30</v>
      </c>
      <c r="C23" s="12">
        <f>C22*C21</f>
        <v>159300</v>
      </c>
      <c r="D23" s="6" t="s">
        <v>33</v>
      </c>
      <c r="E23" s="11" t="s">
        <v>34</v>
      </c>
    </row>
    <row r="25" spans="2:5" x14ac:dyDescent="0.3">
      <c r="B25" s="6" t="s">
        <v>35</v>
      </c>
      <c r="C25" s="13">
        <v>0.14000000000000001</v>
      </c>
      <c r="D25" s="6"/>
      <c r="E25" s="11" t="s">
        <v>36</v>
      </c>
    </row>
    <row r="26" spans="2:5" x14ac:dyDescent="0.3">
      <c r="B26" s="4" t="s">
        <v>37</v>
      </c>
      <c r="C26" s="12">
        <f>C23*C12*C25/(C12/4)</f>
        <v>89208</v>
      </c>
      <c r="D26" s="6" t="s">
        <v>38</v>
      </c>
      <c r="E26" s="11" t="s">
        <v>39</v>
      </c>
    </row>
    <row r="27" spans="2:5" x14ac:dyDescent="0.3">
      <c r="B27" s="4" t="s">
        <v>40</v>
      </c>
      <c r="C27" s="12">
        <f>C23*(1-C25)</f>
        <v>136998</v>
      </c>
      <c r="D27" s="6" t="s">
        <v>33</v>
      </c>
      <c r="E27" s="11" t="s">
        <v>41</v>
      </c>
    </row>
    <row r="28" spans="2:5" x14ac:dyDescent="0.3">
      <c r="B28" s="4" t="s">
        <v>42</v>
      </c>
      <c r="C28" s="12">
        <f>C27*C12+C26*C14</f>
        <v>31860000</v>
      </c>
      <c r="D28" s="6" t="s">
        <v>43</v>
      </c>
      <c r="E28" s="11" t="s">
        <v>44</v>
      </c>
    </row>
    <row r="30" spans="2:5" x14ac:dyDescent="0.3">
      <c r="B30" s="6" t="s">
        <v>45</v>
      </c>
      <c r="C30" s="10">
        <v>4.4000000000000004</v>
      </c>
      <c r="D30" s="6" t="s">
        <v>46</v>
      </c>
      <c r="E30" s="11" t="s">
        <v>47</v>
      </c>
    </row>
    <row r="31" spans="2:5" x14ac:dyDescent="0.3">
      <c r="B31" s="6" t="s">
        <v>48</v>
      </c>
      <c r="C31" s="10">
        <v>200000</v>
      </c>
      <c r="D31" s="6" t="s">
        <v>49</v>
      </c>
      <c r="E31" s="11" t="s">
        <v>50</v>
      </c>
    </row>
    <row r="32" spans="2:5" x14ac:dyDescent="0.3">
      <c r="B32" s="4" t="s">
        <v>51</v>
      </c>
      <c r="C32" s="12">
        <f>C30*C31</f>
        <v>880000.00000000012</v>
      </c>
      <c r="D32" s="6" t="s">
        <v>43</v>
      </c>
      <c r="E32" s="11" t="s">
        <v>52</v>
      </c>
    </row>
    <row r="33" spans="2:5" x14ac:dyDescent="0.3">
      <c r="B33" s="6" t="s">
        <v>53</v>
      </c>
      <c r="C33" s="10">
        <v>30000</v>
      </c>
      <c r="D33" s="6" t="s">
        <v>38</v>
      </c>
      <c r="E33" s="11" t="s">
        <v>54</v>
      </c>
    </row>
    <row r="34" spans="2:5" x14ac:dyDescent="0.3">
      <c r="B34" s="4" t="s">
        <v>55</v>
      </c>
      <c r="C34" s="12">
        <f>C33*C14</f>
        <v>1500000</v>
      </c>
      <c r="D34" s="6" t="s">
        <v>43</v>
      </c>
      <c r="E34" s="11" t="s">
        <v>56</v>
      </c>
    </row>
    <row r="35" spans="2:5" x14ac:dyDescent="0.3">
      <c r="B35" s="6" t="s">
        <v>57</v>
      </c>
      <c r="C35" s="10">
        <v>0</v>
      </c>
      <c r="D35" s="6" t="s">
        <v>43</v>
      </c>
      <c r="E35" s="11" t="s">
        <v>58</v>
      </c>
    </row>
    <row r="37" spans="2:5" x14ac:dyDescent="0.3">
      <c r="B37" s="6" t="s">
        <v>59</v>
      </c>
      <c r="C37" s="13">
        <v>0.08</v>
      </c>
      <c r="D37" s="6" t="s">
        <v>60</v>
      </c>
      <c r="E37" s="11" t="s">
        <v>61</v>
      </c>
    </row>
    <row r="38" spans="2:5" x14ac:dyDescent="0.3">
      <c r="B38" s="4" t="s">
        <v>62</v>
      </c>
      <c r="C38" s="12">
        <f>C37*C28</f>
        <v>2548800</v>
      </c>
      <c r="D38" s="6" t="s">
        <v>43</v>
      </c>
      <c r="E38" s="11"/>
    </row>
    <row r="39" spans="2:5" x14ac:dyDescent="0.3">
      <c r="B39" s="6" t="s">
        <v>63</v>
      </c>
      <c r="C39" s="13">
        <v>0.05</v>
      </c>
      <c r="D39" s="6" t="s">
        <v>60</v>
      </c>
      <c r="E39" s="11" t="s">
        <v>64</v>
      </c>
    </row>
    <row r="40" spans="2:5" x14ac:dyDescent="0.3">
      <c r="B40" s="4" t="s">
        <v>65</v>
      </c>
      <c r="C40" s="12">
        <f>C39*C28</f>
        <v>1593000</v>
      </c>
      <c r="D40" s="6" t="s">
        <v>43</v>
      </c>
      <c r="E40" s="11"/>
    </row>
    <row r="41" spans="2:5" x14ac:dyDescent="0.3">
      <c r="B41" s="6" t="s">
        <v>66</v>
      </c>
      <c r="C41" s="13">
        <v>0.03</v>
      </c>
      <c r="D41" s="6" t="s">
        <v>60</v>
      </c>
      <c r="E41" s="11" t="s">
        <v>67</v>
      </c>
    </row>
    <row r="42" spans="2:5" x14ac:dyDescent="0.3">
      <c r="B42" s="4" t="s">
        <v>68</v>
      </c>
      <c r="C42" s="12">
        <f>C41*C28</f>
        <v>955800</v>
      </c>
      <c r="D42" s="6" t="s">
        <v>43</v>
      </c>
      <c r="E42" s="11"/>
    </row>
    <row r="43" spans="2:5" x14ac:dyDescent="0.3">
      <c r="B43" s="6" t="s">
        <v>69</v>
      </c>
      <c r="C43" s="13">
        <v>0.1</v>
      </c>
      <c r="D43" s="6" t="s">
        <v>70</v>
      </c>
      <c r="E43" s="11" t="s">
        <v>71</v>
      </c>
    </row>
    <row r="45" spans="2:5" x14ac:dyDescent="0.3">
      <c r="B45" s="8" t="s">
        <v>72</v>
      </c>
      <c r="C45" s="9"/>
      <c r="D45" s="9"/>
      <c r="E45" s="9"/>
    </row>
    <row r="46" spans="2:5" x14ac:dyDescent="0.3">
      <c r="B46" s="6" t="s">
        <v>73</v>
      </c>
      <c r="C46" s="10">
        <v>55000</v>
      </c>
      <c r="D46" s="6" t="s">
        <v>33</v>
      </c>
      <c r="E46" s="11" t="s">
        <v>74</v>
      </c>
    </row>
    <row r="47" spans="2:5" x14ac:dyDescent="0.3">
      <c r="B47" s="6" t="s">
        <v>75</v>
      </c>
      <c r="C47" s="10">
        <v>69000</v>
      </c>
      <c r="D47" s="6" t="s">
        <v>33</v>
      </c>
      <c r="E47" s="11" t="s">
        <v>76</v>
      </c>
    </row>
    <row r="48" spans="2:5" x14ac:dyDescent="0.3">
      <c r="B48" s="6" t="s">
        <v>77</v>
      </c>
      <c r="C48" s="10">
        <v>15000000</v>
      </c>
      <c r="D48" s="6" t="s">
        <v>43</v>
      </c>
      <c r="E48" s="11" t="s">
        <v>76</v>
      </c>
    </row>
    <row r="50" spans="2:5" x14ac:dyDescent="0.3">
      <c r="B50" s="8" t="s">
        <v>78</v>
      </c>
      <c r="C50" s="9"/>
      <c r="D50" s="9"/>
      <c r="E50" s="9"/>
    </row>
    <row r="51" spans="2:5" x14ac:dyDescent="0.3">
      <c r="B51" s="6" t="s">
        <v>79</v>
      </c>
      <c r="C51" s="10">
        <v>60</v>
      </c>
      <c r="D51" s="6" t="s">
        <v>33</v>
      </c>
      <c r="E51" s="11" t="s">
        <v>80</v>
      </c>
    </row>
    <row r="52" spans="2:5" x14ac:dyDescent="0.3">
      <c r="B52" s="6" t="s">
        <v>81</v>
      </c>
      <c r="C52" s="10">
        <v>0</v>
      </c>
      <c r="D52" s="6" t="s">
        <v>82</v>
      </c>
      <c r="E52" s="11" t="s">
        <v>83</v>
      </c>
    </row>
    <row r="53" spans="2:5" x14ac:dyDescent="0.3">
      <c r="B53" s="6" t="s">
        <v>84</v>
      </c>
      <c r="C53" s="10">
        <v>0</v>
      </c>
      <c r="D53" s="6" t="s">
        <v>85</v>
      </c>
      <c r="E53" s="11" t="s">
        <v>86</v>
      </c>
    </row>
    <row r="54" spans="2:5" x14ac:dyDescent="0.3">
      <c r="B54" s="6" t="s">
        <v>87</v>
      </c>
      <c r="C54" s="13">
        <v>1.4999999999999999E-2</v>
      </c>
      <c r="D54" s="6" t="s">
        <v>88</v>
      </c>
      <c r="E54" s="11" t="s">
        <v>89</v>
      </c>
    </row>
    <row r="55" spans="2:5" x14ac:dyDescent="0.3">
      <c r="B55" s="6" t="s">
        <v>90</v>
      </c>
      <c r="C55" s="13">
        <v>0.02</v>
      </c>
      <c r="D55" s="6"/>
      <c r="E55" s="11" t="s">
        <v>91</v>
      </c>
    </row>
    <row r="57" spans="2:5" x14ac:dyDescent="0.3">
      <c r="B57" s="8" t="s">
        <v>92</v>
      </c>
      <c r="C57" s="9"/>
      <c r="D57" s="9"/>
      <c r="E57" s="9"/>
    </row>
    <row r="58" spans="2:5" x14ac:dyDescent="0.3">
      <c r="B58" s="6" t="s">
        <v>93</v>
      </c>
      <c r="C58" s="10">
        <v>15</v>
      </c>
      <c r="D58" s="6" t="s">
        <v>94</v>
      </c>
      <c r="E58" s="11" t="s">
        <v>95</v>
      </c>
    </row>
    <row r="59" spans="2:5" x14ac:dyDescent="0.3">
      <c r="B59" s="6" t="s">
        <v>96</v>
      </c>
      <c r="C59" s="13">
        <v>0.08</v>
      </c>
      <c r="D59" s="6"/>
      <c r="E59" s="11" t="s">
        <v>97</v>
      </c>
    </row>
    <row r="60" spans="2:5" x14ac:dyDescent="0.3">
      <c r="B60" s="6" t="s">
        <v>98</v>
      </c>
      <c r="C60" s="13">
        <v>0.16</v>
      </c>
      <c r="D60" s="6"/>
      <c r="E60" s="11" t="s">
        <v>99</v>
      </c>
    </row>
    <row r="61" spans="2:5" x14ac:dyDescent="0.3">
      <c r="B61" s="6" t="s">
        <v>100</v>
      </c>
      <c r="C61" s="10">
        <v>15</v>
      </c>
      <c r="D61" s="6" t="s">
        <v>94</v>
      </c>
      <c r="E61" s="11" t="s">
        <v>101</v>
      </c>
    </row>
    <row r="63" spans="2:5" x14ac:dyDescent="0.3">
      <c r="B63" s="4" t="s">
        <v>102</v>
      </c>
    </row>
    <row r="64" spans="2:5" x14ac:dyDescent="0.3">
      <c r="B64" s="11" t="s">
        <v>103</v>
      </c>
    </row>
    <row r="65" spans="2:2" x14ac:dyDescent="0.3">
      <c r="B65" s="11" t="s">
        <v>104</v>
      </c>
    </row>
    <row r="66" spans="2:2" x14ac:dyDescent="0.3">
      <c r="B66" s="11" t="s">
        <v>105</v>
      </c>
    </row>
    <row r="67" spans="2:2" x14ac:dyDescent="0.3">
      <c r="B67" s="11" t="s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7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44" customWidth="1"/>
    <col min="3" max="3" width="18" customWidth="1"/>
    <col min="4" max="4" width="14" customWidth="1"/>
    <col min="5" max="5" width="16" customWidth="1"/>
    <col min="6" max="6" width="40" customWidth="1"/>
  </cols>
  <sheetData>
    <row r="2" spans="2:6" ht="16.8" x14ac:dyDescent="0.3">
      <c r="B2" s="1" t="s">
        <v>107</v>
      </c>
    </row>
    <row r="3" spans="2:6" x14ac:dyDescent="0.3">
      <c r="B3" s="11" t="s">
        <v>108</v>
      </c>
    </row>
    <row r="5" spans="2:6" x14ac:dyDescent="0.3">
      <c r="B5" s="15" t="s">
        <v>109</v>
      </c>
      <c r="C5" s="15" t="s">
        <v>110</v>
      </c>
      <c r="D5" s="15" t="s">
        <v>33</v>
      </c>
      <c r="E5" s="15" t="s">
        <v>111</v>
      </c>
      <c r="F5" s="15" t="s">
        <v>112</v>
      </c>
    </row>
    <row r="6" spans="2:6" x14ac:dyDescent="0.3">
      <c r="B6" s="6" t="s">
        <v>113</v>
      </c>
      <c r="C6" s="16">
        <f>Ipoteze!C28</f>
        <v>31860000</v>
      </c>
      <c r="D6" s="17">
        <f>IFERROR(C6/Ipoteze!C12,0)</f>
        <v>159300</v>
      </c>
      <c r="E6" s="6" t="s">
        <v>114</v>
      </c>
      <c r="F6" s="11" t="s">
        <v>115</v>
      </c>
    </row>
    <row r="7" spans="2:6" x14ac:dyDescent="0.3">
      <c r="B7" s="6" t="s">
        <v>116</v>
      </c>
      <c r="C7" s="16">
        <f>Ipoteze!C32</f>
        <v>880000.00000000012</v>
      </c>
      <c r="D7" s="17">
        <f>IFERROR(C7/Ipoteze!C12,0)</f>
        <v>4400.0000000000009</v>
      </c>
      <c r="E7" s="6" t="s">
        <v>117</v>
      </c>
      <c r="F7" s="11" t="s">
        <v>118</v>
      </c>
    </row>
    <row r="8" spans="2:6" x14ac:dyDescent="0.3">
      <c r="B8" s="6" t="s">
        <v>119</v>
      </c>
      <c r="C8" s="16">
        <f>Ipoteze!C34</f>
        <v>1500000</v>
      </c>
      <c r="D8" s="17">
        <f>IFERROR(C8/Ipoteze!C12,0)</f>
        <v>7500</v>
      </c>
      <c r="E8" s="6" t="s">
        <v>114</v>
      </c>
      <c r="F8" s="11" t="s">
        <v>61</v>
      </c>
    </row>
    <row r="9" spans="2:6" x14ac:dyDescent="0.3">
      <c r="B9" s="6" t="s">
        <v>57</v>
      </c>
      <c r="C9" s="16">
        <f>Ipoteze!C35</f>
        <v>0</v>
      </c>
      <c r="D9" s="17">
        <f>IFERROR(C9/Ipoteze!C12,0)</f>
        <v>0</v>
      </c>
      <c r="E9" s="6" t="s">
        <v>117</v>
      </c>
      <c r="F9" s="11" t="s">
        <v>120</v>
      </c>
    </row>
    <row r="10" spans="2:6" x14ac:dyDescent="0.3">
      <c r="B10" s="6" t="s">
        <v>121</v>
      </c>
      <c r="C10" s="16">
        <f>Ipoteze!C38</f>
        <v>2548800</v>
      </c>
      <c r="D10" s="17">
        <f>IFERROR(C10/Ipoteze!C12,0)</f>
        <v>12744</v>
      </c>
      <c r="E10" s="6" t="s">
        <v>114</v>
      </c>
      <c r="F10" s="11"/>
    </row>
    <row r="11" spans="2:6" x14ac:dyDescent="0.3">
      <c r="B11" s="6" t="s">
        <v>63</v>
      </c>
      <c r="C11" s="16">
        <f>Ipoteze!C40</f>
        <v>1593000</v>
      </c>
      <c r="D11" s="17">
        <f>IFERROR(C11/Ipoteze!C12,0)</f>
        <v>7965</v>
      </c>
      <c r="E11" s="6" t="s">
        <v>114</v>
      </c>
      <c r="F11" s="11" t="s">
        <v>122</v>
      </c>
    </row>
    <row r="12" spans="2:6" x14ac:dyDescent="0.3">
      <c r="B12" s="6" t="s">
        <v>66</v>
      </c>
      <c r="C12" s="16">
        <f>Ipoteze!C42</f>
        <v>955800</v>
      </c>
      <c r="D12" s="17">
        <f>IFERROR(C12/Ipoteze!C12,0)</f>
        <v>4779</v>
      </c>
      <c r="E12" s="6" t="s">
        <v>123</v>
      </c>
      <c r="F12" s="11" t="s">
        <v>124</v>
      </c>
    </row>
    <row r="13" spans="2:6" x14ac:dyDescent="0.3">
      <c r="B13" s="4" t="s">
        <v>125</v>
      </c>
      <c r="C13" s="18">
        <f>SUM(C6:C12)</f>
        <v>39337600</v>
      </c>
      <c r="D13" s="18">
        <f>C13/Ipoteze!C12</f>
        <v>196688</v>
      </c>
    </row>
    <row r="14" spans="2:6" x14ac:dyDescent="0.3">
      <c r="B14" s="6" t="s">
        <v>69</v>
      </c>
      <c r="C14" s="17">
        <f>C13*Ipoteze!C43</f>
        <v>3933760</v>
      </c>
      <c r="D14" s="19">
        <f>C14/Ipoteze!C12</f>
        <v>19668.8</v>
      </c>
    </row>
    <row r="16" spans="2:6" x14ac:dyDescent="0.3">
      <c r="B16" s="4" t="s">
        <v>126</v>
      </c>
      <c r="C16" s="20">
        <f>C13+C14</f>
        <v>43271360</v>
      </c>
      <c r="D16" s="21">
        <f>C16/Ipoteze!C12</f>
        <v>216356.8</v>
      </c>
    </row>
    <row r="17" spans="2:6" x14ac:dyDescent="0.3">
      <c r="B17" s="4" t="s">
        <v>127</v>
      </c>
      <c r="C17" s="22">
        <f>C6+C8+C10+C11</f>
        <v>37501800</v>
      </c>
      <c r="D17" s="19">
        <f>C17/Ipoteze!C12</f>
        <v>187509</v>
      </c>
      <c r="F17" s="11" t="s">
        <v>128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22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48" customWidth="1"/>
    <col min="3" max="3" width="18" customWidth="1"/>
    <col min="4" max="4" width="60" customWidth="1"/>
  </cols>
  <sheetData>
    <row r="2" spans="2:4" ht="16.8" x14ac:dyDescent="0.3">
      <c r="B2" s="1" t="s">
        <v>129</v>
      </c>
    </row>
    <row r="4" spans="2:4" x14ac:dyDescent="0.3">
      <c r="B4" s="6" t="s">
        <v>130</v>
      </c>
      <c r="C4" s="23">
        <f>Ipoteze!C46*Ipoteze!C12</f>
        <v>11000000</v>
      </c>
      <c r="D4" s="11" t="s">
        <v>131</v>
      </c>
    </row>
    <row r="5" spans="2:4" x14ac:dyDescent="0.3">
      <c r="B5" s="6" t="s">
        <v>132</v>
      </c>
      <c r="C5" s="23">
        <f>Ipoteze!C47*Ipoteze!C12</f>
        <v>13800000</v>
      </c>
      <c r="D5" s="11" t="s">
        <v>133</v>
      </c>
    </row>
    <row r="6" spans="2:4" x14ac:dyDescent="0.3">
      <c r="B6" s="6" t="s">
        <v>134</v>
      </c>
      <c r="C6" s="23">
        <f>Ipoteze!C48</f>
        <v>15000000</v>
      </c>
      <c r="D6" s="11" t="s">
        <v>135</v>
      </c>
    </row>
    <row r="7" spans="2:4" x14ac:dyDescent="0.3">
      <c r="B7" s="6" t="s">
        <v>136</v>
      </c>
      <c r="C7" s="23">
        <f>CAPEX!C17</f>
        <v>37501800</v>
      </c>
      <c r="D7" s="11" t="s">
        <v>137</v>
      </c>
    </row>
    <row r="8" spans="2:4" x14ac:dyDescent="0.3">
      <c r="B8" s="4" t="s">
        <v>138</v>
      </c>
      <c r="C8" s="20">
        <f>MIN(C4,C5,C6,C7)</f>
        <v>11000000</v>
      </c>
      <c r="D8" s="11" t="s">
        <v>139</v>
      </c>
    </row>
    <row r="10" spans="2:4" x14ac:dyDescent="0.3">
      <c r="B10" s="4" t="s">
        <v>140</v>
      </c>
      <c r="C10" s="20">
        <f>CAPEX!C16-C8</f>
        <v>32271360</v>
      </c>
      <c r="D10" s="11" t="s">
        <v>141</v>
      </c>
    </row>
    <row r="11" spans="2:4" x14ac:dyDescent="0.3">
      <c r="B11" s="4" t="s">
        <v>142</v>
      </c>
      <c r="C11" s="24">
        <f>IFERROR(C8/CAPEX!C16,0)</f>
        <v>0.25420971284470839</v>
      </c>
      <c r="D11" s="11" t="s">
        <v>143</v>
      </c>
    </row>
    <row r="12" spans="2:4" x14ac:dyDescent="0.3">
      <c r="B12" s="6" t="s">
        <v>144</v>
      </c>
      <c r="C12" s="25">
        <f>IFERROR(C8/CAPEX!C17,0)</f>
        <v>0.29331925400914088</v>
      </c>
      <c r="D12" s="11" t="s">
        <v>145</v>
      </c>
    </row>
    <row r="14" spans="2:4" x14ac:dyDescent="0.3">
      <c r="B14" s="4" t="s">
        <v>146</v>
      </c>
    </row>
    <row r="15" spans="2:4" x14ac:dyDescent="0.3">
      <c r="B15" s="6" t="s">
        <v>147</v>
      </c>
      <c r="C15" s="26" t="str">
        <f>IF(Ipoteze!C46&lt;=Ipoteze!C47,"DA","NU — OFERTĂ NECONFORMĂ")</f>
        <v>DA</v>
      </c>
      <c r="D15" s="11" t="s">
        <v>148</v>
      </c>
    </row>
    <row r="16" spans="2:4" x14ac:dyDescent="0.3">
      <c r="B16" s="6" t="s">
        <v>149</v>
      </c>
      <c r="C16" s="26" t="str">
        <f>IF(C8&lt;=CAPEX!C17,"DA","NU — DEPĂȘEȘTE 100%")</f>
        <v>DA</v>
      </c>
      <c r="D16" s="11" t="s">
        <v>150</v>
      </c>
    </row>
    <row r="17" spans="2:4" x14ac:dyDescent="0.3">
      <c r="B17" s="6" t="s">
        <v>151</v>
      </c>
      <c r="C17" s="26" t="str">
        <f>IF(Ipoteze!C13&gt;=2,"DA","NU — SUB MINIMUL DE 2:1")</f>
        <v>DA</v>
      </c>
      <c r="D17" s="11" t="s">
        <v>152</v>
      </c>
    </row>
    <row r="18" spans="2:4" x14ac:dyDescent="0.3">
      <c r="B18" s="6" t="s">
        <v>153</v>
      </c>
      <c r="C18" s="26" t="str">
        <f>IF(Ipoteze!C14&gt;=1,"DA","NU")</f>
        <v>DA</v>
      </c>
      <c r="D18" s="11" t="s">
        <v>154</v>
      </c>
    </row>
    <row r="21" spans="2:4" x14ac:dyDescent="0.3">
      <c r="B21" s="4" t="s">
        <v>155</v>
      </c>
    </row>
    <row r="22" spans="2:4" x14ac:dyDescent="0.3">
      <c r="B22" s="11" t="s">
        <v>156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22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40" customWidth="1"/>
    <col min="3" max="18" width="12" customWidth="1"/>
  </cols>
  <sheetData>
    <row r="2" spans="2:18" ht="16.8" x14ac:dyDescent="0.3">
      <c r="B2" s="1" t="s">
        <v>157</v>
      </c>
    </row>
    <row r="3" spans="2:18" x14ac:dyDescent="0.3">
      <c r="B3" s="11" t="s">
        <v>158</v>
      </c>
    </row>
    <row r="5" spans="2:18" x14ac:dyDescent="0.3">
      <c r="C5" s="27" t="s">
        <v>159</v>
      </c>
      <c r="D5" s="27" t="s">
        <v>160</v>
      </c>
      <c r="E5" s="27" t="s">
        <v>161</v>
      </c>
      <c r="F5" s="27" t="s">
        <v>162</v>
      </c>
      <c r="G5" s="27" t="s">
        <v>163</v>
      </c>
      <c r="H5" s="27" t="s">
        <v>164</v>
      </c>
      <c r="I5" s="27" t="s">
        <v>165</v>
      </c>
      <c r="J5" s="27" t="s">
        <v>166</v>
      </c>
      <c r="K5" s="27" t="s">
        <v>167</v>
      </c>
      <c r="L5" s="27" t="s">
        <v>168</v>
      </c>
      <c r="M5" s="27" t="s">
        <v>169</v>
      </c>
      <c r="N5" s="27" t="s">
        <v>170</v>
      </c>
      <c r="O5" s="27" t="s">
        <v>171</v>
      </c>
      <c r="P5" s="27" t="s">
        <v>172</v>
      </c>
      <c r="Q5" s="27" t="s">
        <v>173</v>
      </c>
      <c r="R5" s="27" t="s">
        <v>174</v>
      </c>
    </row>
    <row r="7" spans="2:18" x14ac:dyDescent="0.3">
      <c r="B7" s="6" t="s">
        <v>175</v>
      </c>
      <c r="C7" s="28">
        <v>0</v>
      </c>
      <c r="D7" s="28">
        <f>Ipoteze!C12*Ipoteze!C18*Ipoteze!C17*(1-Ipoteze!C16)^1</f>
        <v>52920</v>
      </c>
      <c r="E7" s="28">
        <f>Ipoteze!C12*Ipoteze!C18*Ipoteze!C17*(1-Ipoteze!C16)^2</f>
        <v>51861.599999999999</v>
      </c>
      <c r="F7" s="28">
        <f>Ipoteze!C12*Ipoteze!C18*Ipoteze!C17*(1-Ipoteze!C16)^3</f>
        <v>50824.367999999995</v>
      </c>
      <c r="G7" s="28">
        <f>Ipoteze!C12*Ipoteze!C18*Ipoteze!C17*(1-Ipoteze!C16)^4</f>
        <v>49807.880639999996</v>
      </c>
      <c r="H7" s="28">
        <f>Ipoteze!C12*Ipoteze!C18*Ipoteze!C17*(1-Ipoteze!C16)^5</f>
        <v>48811.723027199987</v>
      </c>
      <c r="I7" s="28">
        <f>Ipoteze!C12*Ipoteze!C18*Ipoteze!C17*(1-Ipoteze!C16)^6</f>
        <v>47835.488566655986</v>
      </c>
      <c r="J7" s="28">
        <f>Ipoteze!C12*Ipoteze!C18*Ipoteze!C17*(1-Ipoteze!C16)^7</f>
        <v>46878.778795322869</v>
      </c>
      <c r="K7" s="28">
        <f>Ipoteze!C12*Ipoteze!C18*Ipoteze!C17*(1-Ipoteze!C16)^8</f>
        <v>45941.203219416413</v>
      </c>
      <c r="L7" s="28">
        <f>Ipoteze!C12*Ipoteze!C18*Ipoteze!C17*(1-Ipoteze!C16)^9</f>
        <v>45022.37915502808</v>
      </c>
      <c r="M7" s="28">
        <f>Ipoteze!C12*Ipoteze!C18*Ipoteze!C17*(1-Ipoteze!C16)^10</f>
        <v>44121.931571927518</v>
      </c>
      <c r="N7" s="28">
        <f>Ipoteze!C12*Ipoteze!C18*Ipoteze!C17*(1-Ipoteze!C16)^11</f>
        <v>43239.492940488963</v>
      </c>
      <c r="O7" s="28">
        <f>Ipoteze!C12*Ipoteze!C18*Ipoteze!C17*(1-Ipoteze!C16)^12</f>
        <v>42374.703081679188</v>
      </c>
      <c r="P7" s="28">
        <f>Ipoteze!C12*Ipoteze!C18*Ipoteze!C17*(1-Ipoteze!C16)^13</f>
        <v>41527.2090200456</v>
      </c>
      <c r="Q7" s="28">
        <f>Ipoteze!C12*Ipoteze!C18*Ipoteze!C17*(1-Ipoteze!C16)^14</f>
        <v>40696.664839644684</v>
      </c>
      <c r="R7" s="28">
        <f>Ipoteze!C12*Ipoteze!C18*Ipoteze!C17*(1-Ipoteze!C16)^15</f>
        <v>39882.73154285179</v>
      </c>
    </row>
    <row r="8" spans="2:18" x14ac:dyDescent="0.3">
      <c r="B8" s="6" t="s">
        <v>176</v>
      </c>
      <c r="C8" s="17">
        <v>0</v>
      </c>
      <c r="D8" s="17">
        <f>D7*Ipoteze!C51*(1+Ipoteze!C55)^1</f>
        <v>3238704</v>
      </c>
      <c r="E8" s="17">
        <f>E7*Ipoteze!C51*(1+Ipoteze!C55)^2</f>
        <v>3237408.5183999999</v>
      </c>
      <c r="F8" s="17">
        <f>F7*Ipoteze!C51*(1+Ipoteze!C55)^3</f>
        <v>3236113.5549926395</v>
      </c>
      <c r="G8" s="17">
        <f>G7*Ipoteze!C51*(1+Ipoteze!C55)^4</f>
        <v>3234819.1095706425</v>
      </c>
      <c r="H8" s="17">
        <f>H7*Ipoteze!C51*(1+Ipoteze!C55)^5</f>
        <v>3233525.1819268139</v>
      </c>
      <c r="I8" s="17">
        <f>I7*Ipoteze!C51*(1+Ipoteze!C55)^6</f>
        <v>3232231.771854043</v>
      </c>
      <c r="J8" s="17">
        <f>J7*Ipoteze!C51*(1+Ipoteze!C55)^7</f>
        <v>3230938.8791453009</v>
      </c>
      <c r="K8" s="17">
        <f>K7*Ipoteze!C51*(1+Ipoteze!C55)^8</f>
        <v>3229646.5035936432</v>
      </c>
      <c r="L8" s="17">
        <f>L7*Ipoteze!C51*(1+Ipoteze!C55)^9</f>
        <v>3228354.6449922058</v>
      </c>
      <c r="M8" s="17">
        <f>M7*Ipoteze!C51*(1+Ipoteze!C55)^10</f>
        <v>3227063.303134209</v>
      </c>
      <c r="N8" s="17">
        <f>N7*Ipoteze!C51*(1+Ipoteze!C55)^11</f>
        <v>3225772.4778129542</v>
      </c>
      <c r="O8" s="17">
        <f>O7*Ipoteze!C51*(1+Ipoteze!C55)^12</f>
        <v>3224482.1688218298</v>
      </c>
      <c r="P8" s="17">
        <f>P7*Ipoteze!C51*(1+Ipoteze!C55)^13</f>
        <v>3223192.3759543006</v>
      </c>
      <c r="Q8" s="17">
        <f>Q7*Ipoteze!C51*(1+Ipoteze!C55)^14</f>
        <v>3221903.0990039189</v>
      </c>
      <c r="R8" s="17">
        <f>R7*Ipoteze!C51*(1+Ipoteze!C55)^15</f>
        <v>3220614.3377643167</v>
      </c>
    </row>
    <row r="9" spans="2:18" x14ac:dyDescent="0.3">
      <c r="B9" s="6" t="s">
        <v>81</v>
      </c>
      <c r="C9" s="17">
        <v>0</v>
      </c>
      <c r="D9" s="17">
        <f>Ipoteze!C14*Ipoteze!C52*(1+Ipoteze!C55)^1</f>
        <v>0</v>
      </c>
      <c r="E9" s="17">
        <f>Ipoteze!C14*Ipoteze!C52*(1+Ipoteze!C55)^2</f>
        <v>0</v>
      </c>
      <c r="F9" s="17">
        <f>Ipoteze!C14*Ipoteze!C52*(1+Ipoteze!C55)^3</f>
        <v>0</v>
      </c>
      <c r="G9" s="17">
        <f>Ipoteze!C14*Ipoteze!C52*(1+Ipoteze!C55)^4</f>
        <v>0</v>
      </c>
      <c r="H9" s="17">
        <f>Ipoteze!C14*Ipoteze!C52*(1+Ipoteze!C55)^5</f>
        <v>0</v>
      </c>
      <c r="I9" s="17">
        <f>Ipoteze!C14*Ipoteze!C52*(1+Ipoteze!C55)^6</f>
        <v>0</v>
      </c>
      <c r="J9" s="17">
        <f>Ipoteze!C14*Ipoteze!C52*(1+Ipoteze!C55)^7</f>
        <v>0</v>
      </c>
      <c r="K9" s="17">
        <f>Ipoteze!C14*Ipoteze!C52*(1+Ipoteze!C55)^8</f>
        <v>0</v>
      </c>
      <c r="L9" s="17">
        <f>Ipoteze!C14*Ipoteze!C52*(1+Ipoteze!C55)^9</f>
        <v>0</v>
      </c>
      <c r="M9" s="17">
        <f>Ipoteze!C14*Ipoteze!C52*(1+Ipoteze!C55)^10</f>
        <v>0</v>
      </c>
      <c r="N9" s="17">
        <f>Ipoteze!C14*Ipoteze!C52*(1+Ipoteze!C55)^11</f>
        <v>0</v>
      </c>
      <c r="O9" s="17">
        <f>Ipoteze!C14*Ipoteze!C52*(1+Ipoteze!C55)^12</f>
        <v>0</v>
      </c>
      <c r="P9" s="17">
        <f>Ipoteze!C14*Ipoteze!C52*(1+Ipoteze!C55)^13</f>
        <v>0</v>
      </c>
      <c r="Q9" s="17">
        <f>Ipoteze!C14*Ipoteze!C52*(1+Ipoteze!C55)^14</f>
        <v>0</v>
      </c>
      <c r="R9" s="17">
        <f>Ipoteze!C14*Ipoteze!C52*(1+Ipoteze!C55)^15</f>
        <v>0</v>
      </c>
    </row>
    <row r="10" spans="2:18" x14ac:dyDescent="0.3">
      <c r="B10" s="6" t="s">
        <v>177</v>
      </c>
      <c r="C10" s="17">
        <v>0</v>
      </c>
      <c r="D10" s="17">
        <f>-D7*Ipoteze!C53*(1+Ipoteze!C55)^1</f>
        <v>0</v>
      </c>
      <c r="E10" s="17">
        <f>-E7*Ipoteze!C53*(1+Ipoteze!C55)^2</f>
        <v>0</v>
      </c>
      <c r="F10" s="17">
        <f>-F7*Ipoteze!C53*(1+Ipoteze!C55)^3</f>
        <v>0</v>
      </c>
      <c r="G10" s="17">
        <f>-G7*Ipoteze!C53*(1+Ipoteze!C55)^4</f>
        <v>0</v>
      </c>
      <c r="H10" s="17">
        <f>-H7*Ipoteze!C53*(1+Ipoteze!C55)^5</f>
        <v>0</v>
      </c>
      <c r="I10" s="17">
        <f>-I7*Ipoteze!C53*(1+Ipoteze!C55)^6</f>
        <v>0</v>
      </c>
      <c r="J10" s="17">
        <f>-J7*Ipoteze!C53*(1+Ipoteze!C55)^7</f>
        <v>0</v>
      </c>
      <c r="K10" s="17">
        <f>-K7*Ipoteze!C53*(1+Ipoteze!C55)^8</f>
        <v>0</v>
      </c>
      <c r="L10" s="17">
        <f>-L7*Ipoteze!C53*(1+Ipoteze!C55)^9</f>
        <v>0</v>
      </c>
      <c r="M10" s="17">
        <f>-M7*Ipoteze!C53*(1+Ipoteze!C55)^10</f>
        <v>0</v>
      </c>
      <c r="N10" s="17">
        <f>-N7*Ipoteze!C53*(1+Ipoteze!C55)^11</f>
        <v>0</v>
      </c>
      <c r="O10" s="17">
        <f>-O7*Ipoteze!C53*(1+Ipoteze!C55)^12</f>
        <v>0</v>
      </c>
      <c r="P10" s="17">
        <f>-P7*Ipoteze!C53*(1+Ipoteze!C55)^13</f>
        <v>0</v>
      </c>
      <c r="Q10" s="17">
        <f>-Q7*Ipoteze!C53*(1+Ipoteze!C55)^14</f>
        <v>0</v>
      </c>
      <c r="R10" s="17">
        <f>-R7*Ipoteze!C53*(1+Ipoteze!C55)^15</f>
        <v>0</v>
      </c>
    </row>
    <row r="11" spans="2:18" x14ac:dyDescent="0.3">
      <c r="B11" s="6" t="s">
        <v>178</v>
      </c>
      <c r="C11" s="17">
        <v>0</v>
      </c>
      <c r="D11" s="17">
        <f>-CAPEX!$C$16*Ipoteze!C54*(1+Ipoteze!C55)^1</f>
        <v>-662051.80800000008</v>
      </c>
      <c r="E11" s="17">
        <f>-CAPEX!$C$16*Ipoteze!C54*(1+Ipoteze!C55)^2</f>
        <v>-675292.84415999998</v>
      </c>
      <c r="F11" s="17">
        <f>-CAPEX!$C$16*Ipoteze!C54*(1+Ipoteze!C55)^3</f>
        <v>-688798.70104319998</v>
      </c>
      <c r="G11" s="17">
        <f>-CAPEX!$C$16*Ipoteze!C54*(1+Ipoteze!C55)^4</f>
        <v>-702574.67506406398</v>
      </c>
      <c r="H11" s="17">
        <f>-CAPEX!$C$16*Ipoteze!C54*(1+Ipoteze!C55)^5</f>
        <v>-716626.16856534535</v>
      </c>
      <c r="I11" s="17">
        <f>-CAPEX!$C$16*Ipoteze!C54*(1+Ipoteze!C55)^6</f>
        <v>-730958.69193665229</v>
      </c>
      <c r="J11" s="17">
        <f>-CAPEX!$C$16*Ipoteze!C54*(1+Ipoteze!C55)^7</f>
        <v>-745577.86577538517</v>
      </c>
      <c r="K11" s="17">
        <f>-CAPEX!$C$16*Ipoteze!C54*(1+Ipoteze!C55)^8</f>
        <v>-760489.42309089296</v>
      </c>
      <c r="L11" s="17">
        <f>-CAPEX!$C$16*Ipoteze!C54*(1+Ipoteze!C55)^9</f>
        <v>-775699.21155271074</v>
      </c>
      <c r="M11" s="17">
        <f>-CAPEX!$C$16*Ipoteze!C54*(1+Ipoteze!C55)^10</f>
        <v>-791213.19578376506</v>
      </c>
      <c r="N11" s="17">
        <f>-CAPEX!$C$16*Ipoteze!C54*(1+Ipoteze!C55)^11</f>
        <v>-807037.45969944017</v>
      </c>
      <c r="O11" s="17">
        <f>-CAPEX!$C$16*Ipoteze!C54*(1+Ipoteze!C55)^12</f>
        <v>-823178.20889342914</v>
      </c>
      <c r="P11" s="17">
        <f>-CAPEX!$C$16*Ipoteze!C54*(1+Ipoteze!C55)^13</f>
        <v>-839641.77307129768</v>
      </c>
      <c r="Q11" s="17">
        <f>-CAPEX!$C$16*Ipoteze!C54*(1+Ipoteze!C55)^14</f>
        <v>-856434.60853272374</v>
      </c>
      <c r="R11" s="17">
        <f>-CAPEX!$C$16*Ipoteze!C54*(1+Ipoteze!C55)^15</f>
        <v>-873563.30070337793</v>
      </c>
    </row>
    <row r="12" spans="2:18" x14ac:dyDescent="0.3">
      <c r="B12" s="4" t="s">
        <v>179</v>
      </c>
      <c r="C12" s="29">
        <v>0</v>
      </c>
      <c r="D12" s="29">
        <f t="shared" ref="D12:R12" si="0">SUM(D8:D11)</f>
        <v>2576652.1919999998</v>
      </c>
      <c r="E12" s="29">
        <f t="shared" si="0"/>
        <v>2562115.6742400001</v>
      </c>
      <c r="F12" s="29">
        <f t="shared" si="0"/>
        <v>2547314.8539494397</v>
      </c>
      <c r="G12" s="29">
        <f t="shared" si="0"/>
        <v>2532244.4345065784</v>
      </c>
      <c r="H12" s="29">
        <f t="shared" si="0"/>
        <v>2516899.0133614684</v>
      </c>
      <c r="I12" s="29">
        <f t="shared" si="0"/>
        <v>2501273.0799173908</v>
      </c>
      <c r="J12" s="29">
        <f t="shared" si="0"/>
        <v>2485361.013369916</v>
      </c>
      <c r="K12" s="29">
        <f t="shared" si="0"/>
        <v>2469157.0805027504</v>
      </c>
      <c r="L12" s="29">
        <f t="shared" si="0"/>
        <v>2452655.433439495</v>
      </c>
      <c r="M12" s="29">
        <f t="shared" si="0"/>
        <v>2435850.107350444</v>
      </c>
      <c r="N12" s="29">
        <f t="shared" si="0"/>
        <v>2418735.0181135139</v>
      </c>
      <c r="O12" s="29">
        <f t="shared" si="0"/>
        <v>2401303.9599284008</v>
      </c>
      <c r="P12" s="29">
        <f t="shared" si="0"/>
        <v>2383550.6028830027</v>
      </c>
      <c r="Q12" s="29">
        <f t="shared" si="0"/>
        <v>2365468.4904711954</v>
      </c>
      <c r="R12" s="29">
        <f t="shared" si="0"/>
        <v>2347051.0370609388</v>
      </c>
    </row>
    <row r="13" spans="2:18" x14ac:dyDescent="0.3">
      <c r="B13" s="6" t="s">
        <v>180</v>
      </c>
      <c r="C13" s="17">
        <v>0</v>
      </c>
      <c r="D13" s="17">
        <f>IF(1&lt;=Ipoteze!C61,-CAPEX!$C$16/Ipoteze!C61,0)</f>
        <v>-2884757.3333333335</v>
      </c>
      <c r="E13" s="17">
        <f>IF(2&lt;=Ipoteze!C61,-CAPEX!$C$16/Ipoteze!C61,0)</f>
        <v>-2884757.3333333335</v>
      </c>
      <c r="F13" s="17">
        <f>IF(3&lt;=Ipoteze!C61,-CAPEX!$C$16/Ipoteze!C61,0)</f>
        <v>-2884757.3333333335</v>
      </c>
      <c r="G13" s="17">
        <f>IF(4&lt;=Ipoteze!C61,-CAPEX!$C$16/Ipoteze!C61,0)</f>
        <v>-2884757.3333333335</v>
      </c>
      <c r="H13" s="17">
        <f>IF(5&lt;=Ipoteze!C61,-CAPEX!$C$16/Ipoteze!C61,0)</f>
        <v>-2884757.3333333335</v>
      </c>
      <c r="I13" s="17">
        <f>IF(6&lt;=Ipoteze!C61,-CAPEX!$C$16/Ipoteze!C61,0)</f>
        <v>-2884757.3333333335</v>
      </c>
      <c r="J13" s="17">
        <f>IF(7&lt;=Ipoteze!C61,-CAPEX!$C$16/Ipoteze!C61,0)</f>
        <v>-2884757.3333333335</v>
      </c>
      <c r="K13" s="17">
        <f>IF(8&lt;=Ipoteze!C61,-CAPEX!$C$16/Ipoteze!C61,0)</f>
        <v>-2884757.3333333335</v>
      </c>
      <c r="L13" s="17">
        <f>IF(9&lt;=Ipoteze!C61,-CAPEX!$C$16/Ipoteze!C61,0)</f>
        <v>-2884757.3333333335</v>
      </c>
      <c r="M13" s="17">
        <f>IF(10&lt;=Ipoteze!C61,-CAPEX!$C$16/Ipoteze!C61,0)</f>
        <v>-2884757.3333333335</v>
      </c>
      <c r="N13" s="17">
        <f>IF(11&lt;=Ipoteze!C61,-CAPEX!$C$16/Ipoteze!C61,0)</f>
        <v>-2884757.3333333335</v>
      </c>
      <c r="O13" s="17">
        <f>IF(12&lt;=Ipoteze!C61,-CAPEX!$C$16/Ipoteze!C61,0)</f>
        <v>-2884757.3333333335</v>
      </c>
      <c r="P13" s="17">
        <f>IF(13&lt;=Ipoteze!C61,-CAPEX!$C$16/Ipoteze!C61,0)</f>
        <v>-2884757.3333333335</v>
      </c>
      <c r="Q13" s="17">
        <f>IF(14&lt;=Ipoteze!C61,-CAPEX!$C$16/Ipoteze!C61,0)</f>
        <v>-2884757.3333333335</v>
      </c>
      <c r="R13" s="17">
        <f>IF(15&lt;=Ipoteze!C61,-CAPEX!$C$16/Ipoteze!C61,0)</f>
        <v>-2884757.3333333335</v>
      </c>
    </row>
    <row r="14" spans="2:18" x14ac:dyDescent="0.3">
      <c r="B14" s="6" t="s">
        <v>181</v>
      </c>
      <c r="C14" s="17">
        <v>0</v>
      </c>
      <c r="D14" s="17">
        <f t="shared" ref="D14:R14" si="1">D12+D13</f>
        <v>-308105.14133333368</v>
      </c>
      <c r="E14" s="17">
        <f t="shared" si="1"/>
        <v>-322641.65909333341</v>
      </c>
      <c r="F14" s="17">
        <f t="shared" si="1"/>
        <v>-337442.47938389378</v>
      </c>
      <c r="G14" s="17">
        <f t="shared" si="1"/>
        <v>-352512.89882675512</v>
      </c>
      <c r="H14" s="17">
        <f t="shared" si="1"/>
        <v>-367858.31997186504</v>
      </c>
      <c r="I14" s="17">
        <f t="shared" si="1"/>
        <v>-383484.25341594266</v>
      </c>
      <c r="J14" s="17">
        <f t="shared" si="1"/>
        <v>-399396.31996341748</v>
      </c>
      <c r="K14" s="17">
        <f t="shared" si="1"/>
        <v>-415600.25283058314</v>
      </c>
      <c r="L14" s="17">
        <f t="shared" si="1"/>
        <v>-432101.89989383845</v>
      </c>
      <c r="M14" s="17">
        <f t="shared" si="1"/>
        <v>-448907.22598288953</v>
      </c>
      <c r="N14" s="17">
        <f t="shared" si="1"/>
        <v>-466022.31521981955</v>
      </c>
      <c r="O14" s="17">
        <f t="shared" si="1"/>
        <v>-483453.37340493267</v>
      </c>
      <c r="P14" s="17">
        <f t="shared" si="1"/>
        <v>-501206.73045033077</v>
      </c>
      <c r="Q14" s="17">
        <f t="shared" si="1"/>
        <v>-519288.84286213806</v>
      </c>
      <c r="R14" s="17">
        <f t="shared" si="1"/>
        <v>-537706.29627239471</v>
      </c>
    </row>
    <row r="15" spans="2:18" x14ac:dyDescent="0.3">
      <c r="B15" s="6" t="s">
        <v>98</v>
      </c>
      <c r="C15" s="17">
        <v>0</v>
      </c>
      <c r="D15" s="17">
        <f>-MAX(0,D14)*Ipoteze!C60</f>
        <v>0</v>
      </c>
      <c r="E15" s="17">
        <f>-MAX(0,E14)*Ipoteze!C60</f>
        <v>0</v>
      </c>
      <c r="F15" s="17">
        <f>-MAX(0,F14)*Ipoteze!C60</f>
        <v>0</v>
      </c>
      <c r="G15" s="17">
        <f>-MAX(0,G14)*Ipoteze!C60</f>
        <v>0</v>
      </c>
      <c r="H15" s="17">
        <f>-MAX(0,H14)*Ipoteze!C60</f>
        <v>0</v>
      </c>
      <c r="I15" s="17">
        <f>-MAX(0,I14)*Ipoteze!C60</f>
        <v>0</v>
      </c>
      <c r="J15" s="17">
        <f>-MAX(0,J14)*Ipoteze!C60</f>
        <v>0</v>
      </c>
      <c r="K15" s="17">
        <f>-MAX(0,K14)*Ipoteze!C60</f>
        <v>0</v>
      </c>
      <c r="L15" s="17">
        <f>-MAX(0,L14)*Ipoteze!C60</f>
        <v>0</v>
      </c>
      <c r="M15" s="17">
        <f>-MAX(0,M14)*Ipoteze!C60</f>
        <v>0</v>
      </c>
      <c r="N15" s="17">
        <f>-MAX(0,N14)*Ipoteze!C60</f>
        <v>0</v>
      </c>
      <c r="O15" s="17">
        <f>-MAX(0,O14)*Ipoteze!C60</f>
        <v>0</v>
      </c>
      <c r="P15" s="17">
        <f>-MAX(0,P14)*Ipoteze!C60</f>
        <v>0</v>
      </c>
      <c r="Q15" s="17">
        <f>-MAX(0,Q14)*Ipoteze!C60</f>
        <v>0</v>
      </c>
      <c r="R15" s="17">
        <f>-MAX(0,R14)*Ipoteze!C60</f>
        <v>0</v>
      </c>
    </row>
    <row r="16" spans="2:18" x14ac:dyDescent="0.3">
      <c r="B16" s="6" t="s">
        <v>182</v>
      </c>
      <c r="C16" s="17">
        <v>0</v>
      </c>
      <c r="D16" s="17">
        <f t="shared" ref="D16:R16" si="2">D14+D15</f>
        <v>-308105.14133333368</v>
      </c>
      <c r="E16" s="17">
        <f t="shared" si="2"/>
        <v>-322641.65909333341</v>
      </c>
      <c r="F16" s="17">
        <f t="shared" si="2"/>
        <v>-337442.47938389378</v>
      </c>
      <c r="G16" s="17">
        <f t="shared" si="2"/>
        <v>-352512.89882675512</v>
      </c>
      <c r="H16" s="17">
        <f t="shared" si="2"/>
        <v>-367858.31997186504</v>
      </c>
      <c r="I16" s="17">
        <f t="shared" si="2"/>
        <v>-383484.25341594266</v>
      </c>
      <c r="J16" s="17">
        <f t="shared" si="2"/>
        <v>-399396.31996341748</v>
      </c>
      <c r="K16" s="17">
        <f t="shared" si="2"/>
        <v>-415600.25283058314</v>
      </c>
      <c r="L16" s="17">
        <f t="shared" si="2"/>
        <v>-432101.89989383845</v>
      </c>
      <c r="M16" s="17">
        <f t="shared" si="2"/>
        <v>-448907.22598288953</v>
      </c>
      <c r="N16" s="17">
        <f t="shared" si="2"/>
        <v>-466022.31521981955</v>
      </c>
      <c r="O16" s="17">
        <f t="shared" si="2"/>
        <v>-483453.37340493267</v>
      </c>
      <c r="P16" s="17">
        <f t="shared" si="2"/>
        <v>-501206.73045033077</v>
      </c>
      <c r="Q16" s="17">
        <f t="shared" si="2"/>
        <v>-519288.84286213806</v>
      </c>
      <c r="R16" s="17">
        <f t="shared" si="2"/>
        <v>-537706.29627239471</v>
      </c>
    </row>
    <row r="18" spans="2:18" x14ac:dyDescent="0.3">
      <c r="B18" s="6" t="s">
        <v>183</v>
      </c>
      <c r="C18" s="19">
        <f>-CAPEX!C16</f>
        <v>-43271360</v>
      </c>
    </row>
    <row r="19" spans="2:18" x14ac:dyDescent="0.3">
      <c r="B19" s="6" t="s">
        <v>184</v>
      </c>
      <c r="C19" s="30">
        <f>Finantare!C8</f>
        <v>11000000</v>
      </c>
    </row>
    <row r="21" spans="2:18" x14ac:dyDescent="0.3">
      <c r="B21" s="4" t="s">
        <v>185</v>
      </c>
      <c r="C21" s="18">
        <f>C18+C19</f>
        <v>-32271360</v>
      </c>
      <c r="D21" s="18">
        <f t="shared" ref="D21:R21" si="3">D12+D15</f>
        <v>2576652.1919999998</v>
      </c>
      <c r="E21" s="18">
        <f t="shared" si="3"/>
        <v>2562115.6742400001</v>
      </c>
      <c r="F21" s="18">
        <f t="shared" si="3"/>
        <v>2547314.8539494397</v>
      </c>
      <c r="G21" s="18">
        <f t="shared" si="3"/>
        <v>2532244.4345065784</v>
      </c>
      <c r="H21" s="18">
        <f t="shared" si="3"/>
        <v>2516899.0133614684</v>
      </c>
      <c r="I21" s="18">
        <f t="shared" si="3"/>
        <v>2501273.0799173908</v>
      </c>
      <c r="J21" s="18">
        <f t="shared" si="3"/>
        <v>2485361.013369916</v>
      </c>
      <c r="K21" s="18">
        <f t="shared" si="3"/>
        <v>2469157.0805027504</v>
      </c>
      <c r="L21" s="18">
        <f t="shared" si="3"/>
        <v>2452655.433439495</v>
      </c>
      <c r="M21" s="18">
        <f t="shared" si="3"/>
        <v>2435850.107350444</v>
      </c>
      <c r="N21" s="18">
        <f t="shared" si="3"/>
        <v>2418735.0181135139</v>
      </c>
      <c r="O21" s="18">
        <f t="shared" si="3"/>
        <v>2401303.9599284008</v>
      </c>
      <c r="P21" s="18">
        <f t="shared" si="3"/>
        <v>2383550.6028830027</v>
      </c>
      <c r="Q21" s="18">
        <f t="shared" si="3"/>
        <v>2365468.4904711954</v>
      </c>
      <c r="R21" s="18">
        <f t="shared" si="3"/>
        <v>2347051.0370609388</v>
      </c>
    </row>
    <row r="22" spans="2:18" x14ac:dyDescent="0.3">
      <c r="B22" s="6" t="s">
        <v>186</v>
      </c>
      <c r="C22" s="19">
        <f>C21</f>
        <v>-32271360</v>
      </c>
      <c r="D22" s="19">
        <f t="shared" ref="D22:R22" si="4">C22+D21</f>
        <v>-29694707.807999998</v>
      </c>
      <c r="E22" s="19">
        <f t="shared" si="4"/>
        <v>-27132592.133759998</v>
      </c>
      <c r="F22" s="19">
        <f t="shared" si="4"/>
        <v>-24585277.279810559</v>
      </c>
      <c r="G22" s="19">
        <f t="shared" si="4"/>
        <v>-22053032.845303982</v>
      </c>
      <c r="H22" s="19">
        <f t="shared" si="4"/>
        <v>-19536133.831942514</v>
      </c>
      <c r="I22" s="19">
        <f t="shared" si="4"/>
        <v>-17034860.752025124</v>
      </c>
      <c r="J22" s="19">
        <f t="shared" si="4"/>
        <v>-14549499.738655208</v>
      </c>
      <c r="K22" s="19">
        <f t="shared" si="4"/>
        <v>-12080342.658152457</v>
      </c>
      <c r="L22" s="19">
        <f t="shared" si="4"/>
        <v>-9627687.2247129623</v>
      </c>
      <c r="M22" s="19">
        <f t="shared" si="4"/>
        <v>-7191837.1173625179</v>
      </c>
      <c r="N22" s="19">
        <f t="shared" si="4"/>
        <v>-4773102.0992490035</v>
      </c>
      <c r="O22" s="19">
        <f t="shared" si="4"/>
        <v>-2371798.1393206026</v>
      </c>
      <c r="P22" s="19">
        <f t="shared" si="4"/>
        <v>11752.46356240008</v>
      </c>
      <c r="Q22" s="19">
        <f t="shared" si="4"/>
        <v>2377220.9540335955</v>
      </c>
      <c r="R22" s="19">
        <f t="shared" si="4"/>
        <v>4724271.9910945343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33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46" customWidth="1"/>
    <col min="3" max="3" width="18" customWidth="1"/>
    <col min="4" max="4" width="58" customWidth="1"/>
  </cols>
  <sheetData>
    <row r="2" spans="2:4" ht="16.8" x14ac:dyDescent="0.3">
      <c r="B2" s="1" t="s">
        <v>187</v>
      </c>
    </row>
    <row r="3" spans="2:4" x14ac:dyDescent="0.3">
      <c r="B3" s="31" t="s">
        <v>188</v>
      </c>
    </row>
    <row r="5" spans="2:4" x14ac:dyDescent="0.3">
      <c r="B5" s="4" t="s">
        <v>189</v>
      </c>
      <c r="C5" s="32">
        <f>CAPEX!C16</f>
        <v>43271360</v>
      </c>
      <c r="D5" s="11" t="s">
        <v>190</v>
      </c>
    </row>
    <row r="6" spans="2:4" x14ac:dyDescent="0.3">
      <c r="B6" s="4" t="s">
        <v>191</v>
      </c>
      <c r="C6" s="32">
        <f>CAPEX!C16/Ipoteze!C12</f>
        <v>216356.8</v>
      </c>
      <c r="D6" s="11" t="s">
        <v>192</v>
      </c>
    </row>
    <row r="7" spans="2:4" x14ac:dyDescent="0.3">
      <c r="B7" s="4" t="s">
        <v>193</v>
      </c>
      <c r="C7" s="32">
        <f>Finantare!C8</f>
        <v>11000000</v>
      </c>
      <c r="D7" s="11" t="s">
        <v>194</v>
      </c>
    </row>
    <row r="8" spans="2:4" x14ac:dyDescent="0.3">
      <c r="B8" s="4" t="s">
        <v>195</v>
      </c>
      <c r="C8" s="32">
        <f>Finantare!C10</f>
        <v>32271360</v>
      </c>
      <c r="D8" s="11" t="s">
        <v>196</v>
      </c>
    </row>
    <row r="9" spans="2:4" x14ac:dyDescent="0.3">
      <c r="B9" s="4" t="s">
        <v>197</v>
      </c>
      <c r="C9" s="33">
        <f>IFERROR(Finantare!C8/CAPEX!C16,0)</f>
        <v>0.25420971284470839</v>
      </c>
      <c r="D9" s="11" t="s">
        <v>198</v>
      </c>
    </row>
    <row r="11" spans="2:4" x14ac:dyDescent="0.3">
      <c r="B11" s="4" t="s">
        <v>199</v>
      </c>
      <c r="C11" s="32">
        <f>CashFlow!D12</f>
        <v>2576652.1919999998</v>
      </c>
      <c r="D11" s="11" t="s">
        <v>200</v>
      </c>
    </row>
    <row r="12" spans="2:4" x14ac:dyDescent="0.3">
      <c r="B12" s="4" t="s">
        <v>201</v>
      </c>
      <c r="C12" s="32">
        <f>NPV(Ipoteze!C59,CashFlow!D21:R21)+CashFlow!C21</f>
        <v>-10964357.335552603</v>
      </c>
      <c r="D12" s="11" t="s">
        <v>202</v>
      </c>
    </row>
    <row r="13" spans="2:4" x14ac:dyDescent="0.3">
      <c r="B13" s="4" t="s">
        <v>203</v>
      </c>
      <c r="C13" s="33">
        <f>IFERROR(IRR(CashFlow!C21:R21),0)</f>
        <v>1.7875021154783344E-2</v>
      </c>
      <c r="D13" s="11" t="s">
        <v>204</v>
      </c>
    </row>
    <row r="14" spans="2:4" x14ac:dyDescent="0.3">
      <c r="B14" s="4" t="s">
        <v>205</v>
      </c>
      <c r="C14" s="34">
        <f>IFERROR(MATCH(0,CashFlow!C22:R22,1),0)</f>
        <v>13</v>
      </c>
      <c r="D14" s="11" t="s">
        <v>206</v>
      </c>
    </row>
    <row r="17" spans="2:4" x14ac:dyDescent="0.3">
      <c r="B17" s="4" t="s">
        <v>207</v>
      </c>
    </row>
    <row r="18" spans="2:4" x14ac:dyDescent="0.3">
      <c r="B18" s="11" t="s">
        <v>208</v>
      </c>
    </row>
    <row r="20" spans="2:4" x14ac:dyDescent="0.3">
      <c r="B20" s="15" t="s">
        <v>209</v>
      </c>
      <c r="C20" s="15" t="s">
        <v>210</v>
      </c>
      <c r="D20" s="15" t="s">
        <v>211</v>
      </c>
    </row>
    <row r="21" spans="2:4" x14ac:dyDescent="0.3">
      <c r="B21" s="35">
        <v>40000</v>
      </c>
      <c r="C21" s="19">
        <f>MIN(B21*Ipoteze!C12,Ipoteze!C48,CAPEX!C17)</f>
        <v>8000000</v>
      </c>
      <c r="D21" s="19">
        <f>CAPEX!C16-C21</f>
        <v>35271360</v>
      </c>
    </row>
    <row r="22" spans="2:4" x14ac:dyDescent="0.3">
      <c r="B22" s="35">
        <v>45000</v>
      </c>
      <c r="C22" s="19">
        <f>MIN(B22*Ipoteze!C12,Ipoteze!C48,CAPEX!C17)</f>
        <v>9000000</v>
      </c>
      <c r="D22" s="19">
        <f>CAPEX!C16-C22</f>
        <v>34271360</v>
      </c>
    </row>
    <row r="23" spans="2:4" x14ac:dyDescent="0.3">
      <c r="B23" s="35">
        <v>50000</v>
      </c>
      <c r="C23" s="19">
        <f>MIN(B23*Ipoteze!C12,Ipoteze!C48,CAPEX!C17)</f>
        <v>10000000</v>
      </c>
      <c r="D23" s="19">
        <f>CAPEX!C16-C23</f>
        <v>33271360</v>
      </c>
    </row>
    <row r="24" spans="2:4" x14ac:dyDescent="0.3">
      <c r="B24" s="35">
        <v>55000</v>
      </c>
      <c r="C24" s="19">
        <f>MIN(B24*Ipoteze!C12,Ipoteze!C48,CAPEX!C17)</f>
        <v>11000000</v>
      </c>
      <c r="D24" s="19">
        <f>CAPEX!C16-C24</f>
        <v>32271360</v>
      </c>
    </row>
    <row r="25" spans="2:4" x14ac:dyDescent="0.3">
      <c r="B25" s="35">
        <v>60000</v>
      </c>
      <c r="C25" s="19">
        <f>MIN(B25*Ipoteze!C12,Ipoteze!C48,CAPEX!C17)</f>
        <v>12000000</v>
      </c>
      <c r="D25" s="19">
        <f>CAPEX!C16-C25</f>
        <v>31271360</v>
      </c>
    </row>
    <row r="26" spans="2:4" x14ac:dyDescent="0.3">
      <c r="B26" s="35">
        <v>65000</v>
      </c>
      <c r="C26" s="19">
        <f>MIN(B26*Ipoteze!C12,Ipoteze!C48,CAPEX!C17)</f>
        <v>13000000</v>
      </c>
      <c r="D26" s="19">
        <f>CAPEX!C16-C26</f>
        <v>30271360</v>
      </c>
    </row>
    <row r="27" spans="2:4" x14ac:dyDescent="0.3">
      <c r="B27" s="35">
        <v>69000</v>
      </c>
      <c r="C27" s="19">
        <f>MIN(B27*Ipoteze!C12,Ipoteze!C48,CAPEX!C17)</f>
        <v>13800000</v>
      </c>
      <c r="D27" s="19">
        <f>CAPEX!C16-C27</f>
        <v>29471360</v>
      </c>
    </row>
    <row r="30" spans="2:4" x14ac:dyDescent="0.3">
      <c r="B30" s="3" t="s">
        <v>212</v>
      </c>
    </row>
    <row r="31" spans="2:4" x14ac:dyDescent="0.3">
      <c r="B31" s="11" t="s">
        <v>213</v>
      </c>
    </row>
    <row r="32" spans="2:4" x14ac:dyDescent="0.3">
      <c r="B32" s="11" t="s">
        <v>214</v>
      </c>
    </row>
    <row r="33" spans="2:2" x14ac:dyDescent="0.3">
      <c r="B33" s="11" t="s">
        <v>215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3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42" customWidth="1"/>
    <col min="3" max="4" width="18" customWidth="1"/>
    <col min="5" max="5" width="16" customWidth="1"/>
    <col min="6" max="6" width="44" customWidth="1"/>
  </cols>
  <sheetData>
    <row r="2" spans="2:6" ht="16.8" x14ac:dyDescent="0.3">
      <c r="B2" s="1" t="s">
        <v>216</v>
      </c>
    </row>
    <row r="3" spans="2:6" x14ac:dyDescent="0.3">
      <c r="B3" s="11" t="s">
        <v>217</v>
      </c>
    </row>
    <row r="5" spans="2:6" x14ac:dyDescent="0.3">
      <c r="B5" s="15" t="s">
        <v>218</v>
      </c>
      <c r="C5" s="15" t="s">
        <v>219</v>
      </c>
      <c r="D5" s="15" t="s">
        <v>220</v>
      </c>
      <c r="E5" s="15" t="s">
        <v>221</v>
      </c>
      <c r="F5" s="15" t="s">
        <v>112</v>
      </c>
    </row>
    <row r="6" spans="2:6" x14ac:dyDescent="0.3">
      <c r="B6" s="6" t="s">
        <v>222</v>
      </c>
      <c r="C6" s="12">
        <f>Ipoteze!C12</f>
        <v>200</v>
      </c>
      <c r="D6" s="12">
        <f>Ipoteze!C12</f>
        <v>200</v>
      </c>
      <c r="E6" s="28">
        <f>D6-C6</f>
        <v>0</v>
      </c>
      <c r="F6" s="11" t="s">
        <v>223</v>
      </c>
    </row>
    <row r="7" spans="2:6" x14ac:dyDescent="0.3">
      <c r="B7" s="6" t="s">
        <v>224</v>
      </c>
      <c r="C7" s="12">
        <v>4</v>
      </c>
      <c r="D7" s="12">
        <v>2</v>
      </c>
      <c r="E7" s="28">
        <f>D7-C7</f>
        <v>-2</v>
      </c>
      <c r="F7" s="11" t="s">
        <v>225</v>
      </c>
    </row>
    <row r="8" spans="2:6" x14ac:dyDescent="0.3">
      <c r="B8" s="6" t="s">
        <v>226</v>
      </c>
      <c r="C8" s="12">
        <f>C6/C7</f>
        <v>50</v>
      </c>
      <c r="D8" s="12">
        <f>D6/D7</f>
        <v>100</v>
      </c>
      <c r="E8" s="28">
        <f>D8-C8</f>
        <v>50</v>
      </c>
      <c r="F8" s="11" t="s">
        <v>16</v>
      </c>
    </row>
    <row r="10" spans="2:6" x14ac:dyDescent="0.3">
      <c r="B10" s="6" t="s">
        <v>227</v>
      </c>
      <c r="C10" s="23">
        <f>C6*Ipoteze!C27</f>
        <v>27399600</v>
      </c>
      <c r="D10" s="23">
        <f>D6*Ipoteze!C27</f>
        <v>27399600</v>
      </c>
      <c r="E10" s="17">
        <f t="shared" ref="E10:E19" si="0">D10-C10</f>
        <v>0</v>
      </c>
      <c r="F10" s="11" t="s">
        <v>228</v>
      </c>
    </row>
    <row r="11" spans="2:6" x14ac:dyDescent="0.3">
      <c r="B11" s="6" t="s">
        <v>229</v>
      </c>
      <c r="C11" s="23">
        <f>C8*Ipoteze!C26</f>
        <v>4460400</v>
      </c>
      <c r="D11" s="23">
        <f>D8*Ipoteze!C26</f>
        <v>8920800</v>
      </c>
      <c r="E11" s="17">
        <f t="shared" si="0"/>
        <v>4460400</v>
      </c>
      <c r="F11" s="11" t="s">
        <v>230</v>
      </c>
    </row>
    <row r="12" spans="2:6" x14ac:dyDescent="0.3">
      <c r="B12" s="6" t="s">
        <v>119</v>
      </c>
      <c r="C12" s="23">
        <f>C8*Ipoteze!C33</f>
        <v>1500000</v>
      </c>
      <c r="D12" s="23">
        <f>D8*Ipoteze!C33</f>
        <v>3000000</v>
      </c>
      <c r="E12" s="17">
        <f t="shared" si="0"/>
        <v>1500000</v>
      </c>
      <c r="F12" s="11" t="s">
        <v>231</v>
      </c>
    </row>
    <row r="13" spans="2:6" x14ac:dyDescent="0.3">
      <c r="B13" s="6" t="s">
        <v>232</v>
      </c>
      <c r="C13" s="23">
        <f>Ipoteze!C32</f>
        <v>880000.00000000012</v>
      </c>
      <c r="D13" s="23">
        <f>Ipoteze!C32</f>
        <v>880000.00000000012</v>
      </c>
      <c r="E13" s="17">
        <f t="shared" si="0"/>
        <v>0</v>
      </c>
      <c r="F13" s="11" t="s">
        <v>233</v>
      </c>
    </row>
    <row r="14" spans="2:6" x14ac:dyDescent="0.3">
      <c r="B14" s="6" t="s">
        <v>121</v>
      </c>
      <c r="C14" s="23">
        <f>(C10+C11)*Ipoteze!C37</f>
        <v>2548800</v>
      </c>
      <c r="D14" s="23">
        <f>(D10+D11)*Ipoteze!C37</f>
        <v>2905632</v>
      </c>
      <c r="E14" s="17">
        <f t="shared" si="0"/>
        <v>356832</v>
      </c>
      <c r="F14" s="11" t="s">
        <v>234</v>
      </c>
    </row>
    <row r="15" spans="2:6" x14ac:dyDescent="0.3">
      <c r="B15" s="6" t="s">
        <v>235</v>
      </c>
      <c r="C15" s="23">
        <f>(C10+C11)*Ipoteze!C39</f>
        <v>1593000</v>
      </c>
      <c r="D15" s="23">
        <f>(D10+D11)*Ipoteze!C39</f>
        <v>1816020</v>
      </c>
      <c r="E15" s="17">
        <f t="shared" si="0"/>
        <v>223020</v>
      </c>
      <c r="F15" s="11" t="s">
        <v>234</v>
      </c>
    </row>
    <row r="16" spans="2:6" x14ac:dyDescent="0.3">
      <c r="B16" s="6" t="s">
        <v>236</v>
      </c>
      <c r="C16" s="23">
        <f>(C10+C11)*Ipoteze!C41</f>
        <v>955800</v>
      </c>
      <c r="D16" s="23">
        <f>(D10+D11)*Ipoteze!C41</f>
        <v>1089612</v>
      </c>
      <c r="E16" s="17">
        <f t="shared" si="0"/>
        <v>133812</v>
      </c>
      <c r="F16" s="11" t="s">
        <v>237</v>
      </c>
    </row>
    <row r="17" spans="2:6" x14ac:dyDescent="0.3">
      <c r="B17" s="6" t="s">
        <v>69</v>
      </c>
      <c r="C17" s="23">
        <f>SUM(C10:C16)*Ipoteze!C43</f>
        <v>3933760</v>
      </c>
      <c r="D17" s="23">
        <f>SUM(D10:D16)*Ipoteze!C43</f>
        <v>4601166.4000000004</v>
      </c>
      <c r="E17" s="17">
        <f t="shared" si="0"/>
        <v>667406.40000000037</v>
      </c>
      <c r="F17" s="11" t="s">
        <v>238</v>
      </c>
    </row>
    <row r="18" spans="2:6" x14ac:dyDescent="0.3">
      <c r="B18" s="4" t="s">
        <v>126</v>
      </c>
      <c r="C18" s="20">
        <f>SUM(C10:C17)</f>
        <v>43271360</v>
      </c>
      <c r="D18" s="20">
        <f>SUM(D10:D17)</f>
        <v>50612830.399999999</v>
      </c>
      <c r="E18" s="17">
        <f t="shared" si="0"/>
        <v>7341470.3999999985</v>
      </c>
      <c r="F18" s="11" t="s">
        <v>239</v>
      </c>
    </row>
    <row r="19" spans="2:6" x14ac:dyDescent="0.3">
      <c r="B19" s="4" t="s">
        <v>240</v>
      </c>
      <c r="C19" s="22">
        <f>C18/C6</f>
        <v>216356.8</v>
      </c>
      <c r="D19" s="22">
        <f>D18/D6</f>
        <v>253064.152</v>
      </c>
      <c r="E19" s="17">
        <f t="shared" si="0"/>
        <v>36707.352000000014</v>
      </c>
      <c r="F19" s="11" t="s">
        <v>241</v>
      </c>
    </row>
    <row r="21" spans="2:6" x14ac:dyDescent="0.3">
      <c r="B21" s="4" t="s">
        <v>242</v>
      </c>
      <c r="C21" s="22">
        <f>MIN(Ipoteze!C46*C6,Ipoteze!C48,Ipoteze!C47*C6)</f>
        <v>11000000</v>
      </c>
      <c r="D21" s="22">
        <f>MIN(Ipoteze!C46*D6,Ipoteze!C48,Ipoteze!C47*D6)</f>
        <v>11000000</v>
      </c>
      <c r="E21" s="17">
        <f>D21-C21</f>
        <v>0</v>
      </c>
      <c r="F21" s="11" t="s">
        <v>243</v>
      </c>
    </row>
    <row r="22" spans="2:6" x14ac:dyDescent="0.3">
      <c r="B22" s="4" t="s">
        <v>140</v>
      </c>
      <c r="C22" s="20">
        <f>C18-C21</f>
        <v>32271360</v>
      </c>
      <c r="D22" s="20">
        <f>D18-D21</f>
        <v>39612830.399999999</v>
      </c>
      <c r="E22" s="17">
        <f>D22-C22</f>
        <v>7341470.3999999985</v>
      </c>
      <c r="F22" s="11" t="s">
        <v>244</v>
      </c>
    </row>
    <row r="23" spans="2:6" x14ac:dyDescent="0.3">
      <c r="B23" s="6" t="s">
        <v>245</v>
      </c>
      <c r="C23" s="25">
        <f>IFERROR(C21/C18,0)</f>
        <v>0.25420971284470839</v>
      </c>
      <c r="D23" s="25">
        <f>IFERROR(D21/D18,0)</f>
        <v>0.21733619544818028</v>
      </c>
      <c r="F23" s="11" t="s">
        <v>246</v>
      </c>
    </row>
    <row r="25" spans="2:6" x14ac:dyDescent="0.3">
      <c r="B25" s="6" t="s">
        <v>247</v>
      </c>
      <c r="C25" s="25">
        <f>IFERROR(Ipoteze!C47/C19,0)</f>
        <v>0.31891763975063414</v>
      </c>
      <c r="D25" s="25">
        <f>IFERROR(Ipoteze!C47/D19,0)</f>
        <v>0.27265813610771705</v>
      </c>
      <c r="F25" s="11" t="s">
        <v>248</v>
      </c>
    </row>
    <row r="27" spans="2:6" x14ac:dyDescent="0.3">
      <c r="B27" s="6" t="s">
        <v>249</v>
      </c>
      <c r="C27" s="12">
        <f>C6*Ipoteze!C18*Ipoteze!C17</f>
        <v>54000</v>
      </c>
      <c r="D27" s="12">
        <f>D6*Ipoteze!C18*Ipoteze!C17</f>
        <v>54000</v>
      </c>
      <c r="E27" s="28">
        <f>D27-C27</f>
        <v>0</v>
      </c>
      <c r="F27" s="11" t="s">
        <v>250</v>
      </c>
    </row>
    <row r="28" spans="2:6" x14ac:dyDescent="0.3">
      <c r="B28" s="6" t="s">
        <v>251</v>
      </c>
      <c r="C28" s="23">
        <f>C27*Ipoteze!C51</f>
        <v>3240000</v>
      </c>
      <c r="D28" s="23">
        <f>D27*Ipoteze!C51</f>
        <v>3240000</v>
      </c>
      <c r="E28" s="17">
        <f>D28-C28</f>
        <v>0</v>
      </c>
      <c r="F28" s="11" t="s">
        <v>252</v>
      </c>
    </row>
    <row r="29" spans="2:6" x14ac:dyDescent="0.3">
      <c r="B29" s="6" t="s">
        <v>253</v>
      </c>
      <c r="C29" s="23">
        <f>-C18*Ipoteze!C54</f>
        <v>-649070.4</v>
      </c>
      <c r="D29" s="23">
        <f>-D18*Ipoteze!C54</f>
        <v>-759192.45600000001</v>
      </c>
      <c r="E29" s="17">
        <f>D29-C29</f>
        <v>-110122.05599999998</v>
      </c>
      <c r="F29" s="11" t="s">
        <v>254</v>
      </c>
    </row>
    <row r="30" spans="2:6" x14ac:dyDescent="0.3">
      <c r="B30" s="4" t="s">
        <v>199</v>
      </c>
      <c r="C30" s="22">
        <f>C28+C29</f>
        <v>2590929.6</v>
      </c>
      <c r="D30" s="22">
        <f>D28+D29</f>
        <v>2480807.5439999998</v>
      </c>
      <c r="E30" s="17">
        <f>D30-C30</f>
        <v>-110122.05600000033</v>
      </c>
      <c r="F30" s="11" t="s">
        <v>255</v>
      </c>
    </row>
    <row r="31" spans="2:6" x14ac:dyDescent="0.3">
      <c r="B31" s="6" t="s">
        <v>256</v>
      </c>
      <c r="C31" s="12">
        <f>IFERROR(C22/C30,0)</f>
        <v>12.455514036352049</v>
      </c>
      <c r="D31" s="12">
        <f>IFERROR(D22/D30,0)</f>
        <v>15.967716034968653</v>
      </c>
      <c r="F31" s="11" t="s">
        <v>257</v>
      </c>
    </row>
    <row r="34" spans="2:2" x14ac:dyDescent="0.3">
      <c r="B34" s="4" t="s">
        <v>258</v>
      </c>
    </row>
    <row r="35" spans="2:2" x14ac:dyDescent="0.3">
      <c r="B35" s="11" t="s">
        <v>259</v>
      </c>
    </row>
    <row r="36" spans="2:2" x14ac:dyDescent="0.3">
      <c r="B36" s="11" t="s">
        <v>260</v>
      </c>
    </row>
    <row r="37" spans="2:2" x14ac:dyDescent="0.3">
      <c r="B37" s="11" t="s">
        <v>261</v>
      </c>
    </row>
    <row r="38" spans="2:2" x14ac:dyDescent="0.3">
      <c r="B38" s="11" t="s">
        <v>262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Ipoteze</vt:lpstr>
      <vt:lpstr>CAPEX</vt:lpstr>
      <vt:lpstr>Finantare</vt:lpstr>
      <vt:lpstr>CashFlow</vt:lpstr>
      <vt:lpstr>Rezultate</vt:lpstr>
      <vt:lpstr>Scenarii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Lucian Neacsu</cp:lastModifiedBy>
  <cp:revision>0</cp:revision>
  <dcterms:created xsi:type="dcterms:W3CDTF">2026-08-24T17:34:58Z</dcterms:created>
  <dcterms:modified xsi:type="dcterms:W3CDTF">2026-08-24T17:40:36Z</dcterms:modified>
  <dc:language>en-US</dc:language>
</cp:coreProperties>
</file>